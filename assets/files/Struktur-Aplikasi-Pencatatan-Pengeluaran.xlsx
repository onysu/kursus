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B0FE4B50-AFE4-4F10-84D8-A9E4DC366AC2}" xr6:coauthVersionLast="47" xr6:coauthVersionMax="47" xr10:uidLastSave="{00000000-0000-0000-0000-000000000000}"/>
  <bookViews>
    <workbookView xWindow="-120" yWindow="-120" windowWidth="20730" windowHeight="11040" activeTab="4" xr2:uid="{5E619307-B1A1-4AB7-BF84-058FDDB8BFB2}"/>
  </bookViews>
  <sheets>
    <sheet name="Sheet2" sheetId="2" r:id="rId1"/>
    <sheet name="Sheet4" sheetId="4" r:id="rId2"/>
    <sheet name="Sheet5" sheetId="5" r:id="rId3"/>
    <sheet name="Sheet3" sheetId="3" r:id="rId4"/>
    <sheet name="Data Pengeluara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  <c r="D35" i="1"/>
  <c r="D34" i="1"/>
  <c r="D33" i="1"/>
  <c r="D32" i="1"/>
</calcChain>
</file>

<file path=xl/sharedStrings.xml><?xml version="1.0" encoding="utf-8"?>
<sst xmlns="http://schemas.openxmlformats.org/spreadsheetml/2006/main" count="73" uniqueCount="38">
  <si>
    <t>Tanggal</t>
  </si>
  <si>
    <t>Kategori</t>
  </si>
  <si>
    <t>Deskripsi</t>
  </si>
  <si>
    <t>Jumlah</t>
  </si>
  <si>
    <t>Makanan</t>
  </si>
  <si>
    <t>Nasi goreng</t>
  </si>
  <si>
    <t>Transport</t>
  </si>
  <si>
    <t>Bensin</t>
  </si>
  <si>
    <t>Belanja</t>
  </si>
  <si>
    <t>Sabun</t>
  </si>
  <si>
    <t>Hiburan</t>
  </si>
  <si>
    <t>Nonton film</t>
  </si>
  <si>
    <t>Tagihan</t>
  </si>
  <si>
    <t>Listrik</t>
  </si>
  <si>
    <t>Bakso</t>
  </si>
  <si>
    <t>Parkir</t>
  </si>
  <si>
    <t>Shampoo</t>
  </si>
  <si>
    <t>Ayam geprek</t>
  </si>
  <si>
    <t>Internet</t>
  </si>
  <si>
    <t>Karaoke</t>
  </si>
  <si>
    <t>Tisu</t>
  </si>
  <si>
    <t>Soto ayam</t>
  </si>
  <si>
    <t>Game online</t>
  </si>
  <si>
    <t>Air PDAM</t>
  </si>
  <si>
    <t>Mie ayam</t>
  </si>
  <si>
    <t>Tol</t>
  </si>
  <si>
    <t>Deterjen</t>
  </si>
  <si>
    <t>Streaming</t>
  </si>
  <si>
    <t>Pecel lele</t>
  </si>
  <si>
    <t>Pasta gigi</t>
  </si>
  <si>
    <t>Nasi padang</t>
  </si>
  <si>
    <t>Wisata</t>
  </si>
  <si>
    <t>Total Pengeluaran</t>
  </si>
  <si>
    <t>Total Pengeluaran Makanan</t>
  </si>
  <si>
    <t>Jumlah Transaksi Makanan</t>
  </si>
  <si>
    <t>Rata-rata Pengeluaran</t>
  </si>
  <si>
    <t>Bulan</t>
  </si>
  <si>
    <t>Jenis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</si>
</sst>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&quot;Rp&quot;* #,##0_-;\-&quot;Rp&quot;* #,##0_-;_-&quot;Rp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6" fontId="0" fillId="0" borderId="0" xfId="0" applyNumberFormat="1"/>
    <xf numFmtId="0" fontId="0" fillId="0" borderId="1" xfId="0" applyBorder="1" applyAlignment="1">
      <alignment horizontal="left" vertical="center"/>
    </xf>
    <xf numFmtId="166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166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127C-A6A3-40D4-84D5-EC4F40796BDA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8FB3-342F-43B9-9F57-B35C80FC0421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EB5B-FF9A-4C4D-86E7-CB4D42CB8EA2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C024-C570-497E-87CA-9AC1E8057384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3CD9-0AD8-4BA6-A26F-6909558FC3CF}">
  <dimension ref="A1:H35"/>
  <sheetViews>
    <sheetView tabSelected="1" zoomScaleNormal="100" workbookViewId="0">
      <selection activeCell="K15" sqref="K15"/>
    </sheetView>
  </sheetViews>
  <sheetFormatPr defaultRowHeight="15" x14ac:dyDescent="0.25"/>
  <cols>
    <col min="1" max="1" width="12.5703125" customWidth="1"/>
    <col min="2" max="2" width="14.42578125" customWidth="1"/>
    <col min="3" max="3" width="16.5703125" customWidth="1"/>
    <col min="4" max="4" width="17" customWidth="1"/>
    <col min="5" max="5" width="10.42578125" customWidth="1"/>
    <col min="6" max="6" width="13.85546875" customWidth="1"/>
    <col min="8" max="8" width="18.7109375" customWidth="1"/>
  </cols>
  <sheetData>
    <row r="1" spans="1: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36</v>
      </c>
      <c r="F1" s="6" t="s">
        <v>37</v>
      </c>
      <c r="H1" s="12" t="s">
        <v>4</v>
      </c>
    </row>
    <row r="2" spans="1:8" x14ac:dyDescent="0.25">
      <c r="A2" s="7">
        <v>45658</v>
      </c>
      <c r="B2" s="2" t="s">
        <v>4</v>
      </c>
      <c r="C2" s="2" t="s">
        <v>5</v>
      </c>
      <c r="D2" s="3">
        <v>25000</v>
      </c>
      <c r="E2" s="11" t="str">
        <f>TEXT(A2,"MMMM")</f>
        <v>January</v>
      </c>
      <c r="F2" s="15" t="str">
        <f>IF(OR(B2="Makanan",B2="Tagihan",B2="Transport"),"Kebutuhan","Keinginan")</f>
        <v>Kebutuhan</v>
      </c>
      <c r="H2" s="13" t="s">
        <v>6</v>
      </c>
    </row>
    <row r="3" spans="1:8" x14ac:dyDescent="0.25">
      <c r="A3" s="7">
        <v>45659</v>
      </c>
      <c r="B3" s="2" t="s">
        <v>6</v>
      </c>
      <c r="C3" s="2" t="s">
        <v>7</v>
      </c>
      <c r="D3" s="3">
        <v>50000</v>
      </c>
      <c r="E3" s="11" t="str">
        <f t="shared" ref="E3:E30" si="0">TEXT(A3,"MMMM")</f>
        <v>January</v>
      </c>
      <c r="F3" s="15" t="str">
        <f t="shared" ref="F3:F30" si="1">IF(OR(B3="Makanan",B3="Tagihan",B3="Transport"),"Kebutuhan","Keinginan")</f>
        <v>Kebutuhan</v>
      </c>
      <c r="H3" s="13" t="s">
        <v>8</v>
      </c>
    </row>
    <row r="4" spans="1:8" x14ac:dyDescent="0.25">
      <c r="A4" s="7">
        <v>45660</v>
      </c>
      <c r="B4" s="2" t="s">
        <v>8</v>
      </c>
      <c r="C4" s="2" t="s">
        <v>9</v>
      </c>
      <c r="D4" s="3">
        <v>15000</v>
      </c>
      <c r="E4" s="11" t="str">
        <f t="shared" si="0"/>
        <v>January</v>
      </c>
      <c r="F4" s="15" t="str">
        <f t="shared" si="1"/>
        <v>Keinginan</v>
      </c>
      <c r="H4" s="13" t="s">
        <v>12</v>
      </c>
    </row>
    <row r="5" spans="1:8" ht="15.75" thickBot="1" x14ac:dyDescent="0.3">
      <c r="A5" s="7">
        <v>45661</v>
      </c>
      <c r="B5" s="2" t="s">
        <v>10</v>
      </c>
      <c r="C5" s="2" t="s">
        <v>11</v>
      </c>
      <c r="D5" s="3">
        <v>50000</v>
      </c>
      <c r="E5" s="11" t="str">
        <f t="shared" si="0"/>
        <v>January</v>
      </c>
      <c r="F5" s="15" t="str">
        <f t="shared" si="1"/>
        <v>Keinginan</v>
      </c>
      <c r="H5" s="14" t="s">
        <v>10</v>
      </c>
    </row>
    <row r="6" spans="1:8" x14ac:dyDescent="0.25">
      <c r="A6" s="7">
        <v>45662</v>
      </c>
      <c r="B6" s="2" t="s">
        <v>12</v>
      </c>
      <c r="C6" s="2" t="s">
        <v>13</v>
      </c>
      <c r="D6" s="3">
        <v>350000</v>
      </c>
      <c r="E6" s="11" t="str">
        <f t="shared" si="0"/>
        <v>January</v>
      </c>
      <c r="F6" s="15" t="str">
        <f t="shared" si="1"/>
        <v>Kebutuhan</v>
      </c>
    </row>
    <row r="7" spans="1:8" x14ac:dyDescent="0.25">
      <c r="A7" s="7">
        <v>45664</v>
      </c>
      <c r="B7" s="2" t="s">
        <v>4</v>
      </c>
      <c r="C7" s="2" t="s">
        <v>14</v>
      </c>
      <c r="D7" s="3">
        <v>20000</v>
      </c>
      <c r="E7" s="11" t="str">
        <f t="shared" si="0"/>
        <v>January</v>
      </c>
      <c r="F7" s="15" t="str">
        <f t="shared" si="1"/>
        <v>Kebutuhan</v>
      </c>
    </row>
    <row r="8" spans="1:8" x14ac:dyDescent="0.25">
      <c r="A8" s="7">
        <v>45666</v>
      </c>
      <c r="B8" s="2" t="s">
        <v>6</v>
      </c>
      <c r="C8" s="2" t="s">
        <v>15</v>
      </c>
      <c r="D8" s="3">
        <v>10000</v>
      </c>
      <c r="E8" s="11" t="str">
        <f t="shared" si="0"/>
        <v>January</v>
      </c>
      <c r="F8" s="15" t="str">
        <f t="shared" si="1"/>
        <v>Kebutuhan</v>
      </c>
    </row>
    <row r="9" spans="1:8" x14ac:dyDescent="0.25">
      <c r="A9" s="7">
        <v>45668</v>
      </c>
      <c r="B9" s="2" t="s">
        <v>8</v>
      </c>
      <c r="C9" s="2" t="s">
        <v>16</v>
      </c>
      <c r="D9" s="3">
        <v>35000</v>
      </c>
      <c r="E9" s="11" t="str">
        <f t="shared" si="0"/>
        <v>January</v>
      </c>
      <c r="F9" s="15" t="str">
        <f t="shared" si="1"/>
        <v>Keinginan</v>
      </c>
    </row>
    <row r="10" spans="1:8" x14ac:dyDescent="0.25">
      <c r="A10" s="7">
        <v>45670</v>
      </c>
      <c r="B10" s="2" t="s">
        <v>4</v>
      </c>
      <c r="C10" s="2" t="s">
        <v>17</v>
      </c>
      <c r="D10" s="3">
        <v>30000</v>
      </c>
      <c r="E10" s="11" t="str">
        <f t="shared" si="0"/>
        <v>January</v>
      </c>
      <c r="F10" s="15" t="str">
        <f t="shared" si="1"/>
        <v>Kebutuhan</v>
      </c>
    </row>
    <row r="11" spans="1:8" x14ac:dyDescent="0.25">
      <c r="A11" s="7">
        <v>45672</v>
      </c>
      <c r="B11" s="2" t="s">
        <v>12</v>
      </c>
      <c r="C11" s="2" t="s">
        <v>18</v>
      </c>
      <c r="D11" s="3">
        <v>300000</v>
      </c>
      <c r="E11" s="11" t="str">
        <f t="shared" si="0"/>
        <v>January</v>
      </c>
      <c r="F11" s="15" t="str">
        <f t="shared" si="1"/>
        <v>Kebutuhan</v>
      </c>
    </row>
    <row r="12" spans="1:8" x14ac:dyDescent="0.25">
      <c r="A12" s="7">
        <v>45675</v>
      </c>
      <c r="B12" s="2" t="s">
        <v>10</v>
      </c>
      <c r="C12" s="2" t="s">
        <v>19</v>
      </c>
      <c r="D12" s="3">
        <v>75000</v>
      </c>
      <c r="E12" s="11" t="str">
        <f t="shared" si="0"/>
        <v>January</v>
      </c>
      <c r="F12" s="15" t="str">
        <f t="shared" si="1"/>
        <v>Keinginan</v>
      </c>
    </row>
    <row r="13" spans="1:8" x14ac:dyDescent="0.25">
      <c r="A13" s="7">
        <v>45677</v>
      </c>
      <c r="B13" s="2" t="s">
        <v>6</v>
      </c>
      <c r="C13" s="2" t="s">
        <v>7</v>
      </c>
      <c r="D13" s="3">
        <v>60000</v>
      </c>
      <c r="E13" s="11" t="str">
        <f t="shared" si="0"/>
        <v>January</v>
      </c>
      <c r="F13" s="15" t="str">
        <f t="shared" si="1"/>
        <v>Kebutuhan</v>
      </c>
    </row>
    <row r="14" spans="1:8" x14ac:dyDescent="0.25">
      <c r="A14" s="7">
        <v>45679</v>
      </c>
      <c r="B14" s="2" t="s">
        <v>8</v>
      </c>
      <c r="C14" s="2" t="s">
        <v>20</v>
      </c>
      <c r="D14" s="3">
        <v>12000</v>
      </c>
      <c r="E14" s="11" t="str">
        <f t="shared" si="0"/>
        <v>January</v>
      </c>
      <c r="F14" s="15" t="str">
        <f t="shared" si="1"/>
        <v>Keinginan</v>
      </c>
    </row>
    <row r="15" spans="1:8" x14ac:dyDescent="0.25">
      <c r="A15" s="7">
        <v>45682</v>
      </c>
      <c r="B15" s="2" t="s">
        <v>4</v>
      </c>
      <c r="C15" s="2" t="s">
        <v>21</v>
      </c>
      <c r="D15" s="3">
        <v>25000</v>
      </c>
      <c r="E15" s="11" t="str">
        <f t="shared" si="0"/>
        <v>January</v>
      </c>
      <c r="F15" s="15" t="str">
        <f t="shared" si="1"/>
        <v>Kebutuhan</v>
      </c>
    </row>
    <row r="16" spans="1:8" x14ac:dyDescent="0.25">
      <c r="A16" s="7">
        <v>45685</v>
      </c>
      <c r="B16" s="2" t="s">
        <v>10</v>
      </c>
      <c r="C16" s="2" t="s">
        <v>22</v>
      </c>
      <c r="D16" s="3">
        <v>100000</v>
      </c>
      <c r="E16" s="11" t="str">
        <f t="shared" si="0"/>
        <v>January</v>
      </c>
      <c r="F16" s="15" t="str">
        <f t="shared" si="1"/>
        <v>Keinginan</v>
      </c>
    </row>
    <row r="17" spans="1:6" x14ac:dyDescent="0.25">
      <c r="A17" s="7">
        <v>45690</v>
      </c>
      <c r="B17" s="2" t="s">
        <v>12</v>
      </c>
      <c r="C17" s="2" t="s">
        <v>23</v>
      </c>
      <c r="D17" s="3">
        <v>100000</v>
      </c>
      <c r="E17" s="11" t="str">
        <f t="shared" si="0"/>
        <v>February</v>
      </c>
      <c r="F17" s="15" t="str">
        <f t="shared" si="1"/>
        <v>Kebutuhan</v>
      </c>
    </row>
    <row r="18" spans="1:6" x14ac:dyDescent="0.25">
      <c r="A18" s="7">
        <v>45692</v>
      </c>
      <c r="B18" s="2" t="s">
        <v>4</v>
      </c>
      <c r="C18" s="2" t="s">
        <v>24</v>
      </c>
      <c r="D18" s="3">
        <v>18000</v>
      </c>
      <c r="E18" s="11" t="str">
        <f t="shared" si="0"/>
        <v>February</v>
      </c>
      <c r="F18" s="15" t="str">
        <f t="shared" si="1"/>
        <v>Kebutuhan</v>
      </c>
    </row>
    <row r="19" spans="1:6" x14ac:dyDescent="0.25">
      <c r="A19" s="7">
        <v>45694</v>
      </c>
      <c r="B19" s="2" t="s">
        <v>6</v>
      </c>
      <c r="C19" s="2" t="s">
        <v>25</v>
      </c>
      <c r="D19" s="3">
        <v>25000</v>
      </c>
      <c r="E19" s="11" t="str">
        <f t="shared" si="0"/>
        <v>February</v>
      </c>
      <c r="F19" s="15" t="str">
        <f t="shared" si="1"/>
        <v>Kebutuhan</v>
      </c>
    </row>
    <row r="20" spans="1:6" x14ac:dyDescent="0.25">
      <c r="A20" s="7">
        <v>45696</v>
      </c>
      <c r="B20" s="2" t="s">
        <v>8</v>
      </c>
      <c r="C20" s="2" t="s">
        <v>26</v>
      </c>
      <c r="D20" s="3">
        <v>45000</v>
      </c>
      <c r="E20" s="11" t="str">
        <f t="shared" si="0"/>
        <v>February</v>
      </c>
      <c r="F20" s="15" t="str">
        <f t="shared" si="1"/>
        <v>Keinginan</v>
      </c>
    </row>
    <row r="21" spans="1:6" x14ac:dyDescent="0.25">
      <c r="A21" s="7">
        <v>45698</v>
      </c>
      <c r="B21" s="2" t="s">
        <v>10</v>
      </c>
      <c r="C21" s="2" t="s">
        <v>27</v>
      </c>
      <c r="D21" s="3">
        <v>60000</v>
      </c>
      <c r="E21" s="11" t="str">
        <f t="shared" si="0"/>
        <v>February</v>
      </c>
      <c r="F21" s="15" t="str">
        <f t="shared" si="1"/>
        <v>Keinginan</v>
      </c>
    </row>
    <row r="22" spans="1:6" x14ac:dyDescent="0.25">
      <c r="A22" s="7">
        <v>45700</v>
      </c>
      <c r="B22" s="2" t="s">
        <v>4</v>
      </c>
      <c r="C22" s="2" t="s">
        <v>28</v>
      </c>
      <c r="D22" s="3">
        <v>28000</v>
      </c>
      <c r="E22" s="11" t="str">
        <f t="shared" si="0"/>
        <v>February</v>
      </c>
      <c r="F22" s="15" t="str">
        <f t="shared" si="1"/>
        <v>Kebutuhan</v>
      </c>
    </row>
    <row r="23" spans="1:6" x14ac:dyDescent="0.25">
      <c r="A23" s="7">
        <v>45703</v>
      </c>
      <c r="B23" s="2" t="s">
        <v>12</v>
      </c>
      <c r="C23" s="2" t="s">
        <v>13</v>
      </c>
      <c r="D23" s="3">
        <v>375000</v>
      </c>
      <c r="E23" s="11" t="str">
        <f t="shared" si="0"/>
        <v>February</v>
      </c>
      <c r="F23" s="15" t="str">
        <f t="shared" si="1"/>
        <v>Kebutuhan</v>
      </c>
    </row>
    <row r="24" spans="1:6" x14ac:dyDescent="0.25">
      <c r="A24" s="7">
        <v>45706</v>
      </c>
      <c r="B24" s="2" t="s">
        <v>6</v>
      </c>
      <c r="C24" s="2" t="s">
        <v>7</v>
      </c>
      <c r="D24" s="3">
        <v>55000</v>
      </c>
      <c r="E24" s="11" t="str">
        <f t="shared" si="0"/>
        <v>February</v>
      </c>
      <c r="F24" s="15" t="str">
        <f t="shared" si="1"/>
        <v>Kebutuhan</v>
      </c>
    </row>
    <row r="25" spans="1:6" x14ac:dyDescent="0.25">
      <c r="A25" s="7">
        <v>45708</v>
      </c>
      <c r="B25" s="2" t="s">
        <v>8</v>
      </c>
      <c r="C25" s="2" t="s">
        <v>29</v>
      </c>
      <c r="D25" s="3">
        <v>18000</v>
      </c>
      <c r="E25" s="11" t="str">
        <f t="shared" si="0"/>
        <v>February</v>
      </c>
      <c r="F25" s="15" t="str">
        <f t="shared" si="1"/>
        <v>Keinginan</v>
      </c>
    </row>
    <row r="26" spans="1:6" x14ac:dyDescent="0.25">
      <c r="A26" s="7">
        <v>45711</v>
      </c>
      <c r="B26" s="2" t="s">
        <v>4</v>
      </c>
      <c r="C26" s="2" t="s">
        <v>30</v>
      </c>
      <c r="D26" s="3">
        <v>35000</v>
      </c>
      <c r="E26" s="11" t="str">
        <f t="shared" si="0"/>
        <v>February</v>
      </c>
      <c r="F26" s="15" t="str">
        <f t="shared" si="1"/>
        <v>Kebutuhan</v>
      </c>
    </row>
    <row r="27" spans="1:6" x14ac:dyDescent="0.25">
      <c r="A27" s="7">
        <v>45714</v>
      </c>
      <c r="B27" s="2" t="s">
        <v>10</v>
      </c>
      <c r="C27" s="2" t="s">
        <v>31</v>
      </c>
      <c r="D27" s="3">
        <v>150000</v>
      </c>
      <c r="E27" s="11" t="str">
        <f t="shared" si="0"/>
        <v>February</v>
      </c>
      <c r="F27" s="15" t="str">
        <f t="shared" si="1"/>
        <v>Keinginan</v>
      </c>
    </row>
    <row r="28" spans="1:6" x14ac:dyDescent="0.25">
      <c r="A28" s="7">
        <v>45717</v>
      </c>
      <c r="B28" s="2" t="s">
        <v>12</v>
      </c>
      <c r="C28" s="2" t="s">
        <v>18</v>
      </c>
      <c r="D28" s="3">
        <v>300000</v>
      </c>
      <c r="E28" s="11" t="str">
        <f t="shared" si="0"/>
        <v>March</v>
      </c>
      <c r="F28" s="15" t="str">
        <f t="shared" si="1"/>
        <v>Kebutuhan</v>
      </c>
    </row>
    <row r="29" spans="1:6" x14ac:dyDescent="0.25">
      <c r="A29" s="7">
        <v>45719</v>
      </c>
      <c r="B29" s="2" t="s">
        <v>4</v>
      </c>
      <c r="C29" s="2" t="s">
        <v>14</v>
      </c>
      <c r="D29" s="3">
        <v>22000</v>
      </c>
      <c r="E29" s="11" t="str">
        <f t="shared" si="0"/>
        <v>March</v>
      </c>
      <c r="F29" s="15" t="str">
        <f t="shared" si="1"/>
        <v>Kebutuhan</v>
      </c>
    </row>
    <row r="30" spans="1:6" ht="15.75" thickBot="1" x14ac:dyDescent="0.3">
      <c r="A30" s="8">
        <v>45721</v>
      </c>
      <c r="B30" s="9" t="s">
        <v>6</v>
      </c>
      <c r="C30" s="9" t="s">
        <v>7</v>
      </c>
      <c r="D30" s="16">
        <v>65000</v>
      </c>
      <c r="E30" s="17" t="str">
        <f t="shared" si="0"/>
        <v>March</v>
      </c>
      <c r="F30" s="18" t="str">
        <f t="shared" si="1"/>
        <v>Kebutuhan</v>
      </c>
    </row>
    <row r="32" spans="1:6" x14ac:dyDescent="0.25">
      <c r="A32" s="10" t="s">
        <v>32</v>
      </c>
      <c r="D32" s="1">
        <f>SUM(D2:D30)</f>
        <v>2453000</v>
      </c>
    </row>
    <row r="33" spans="1:4" x14ac:dyDescent="0.25">
      <c r="A33" s="10" t="s">
        <v>33</v>
      </c>
      <c r="D33" s="1">
        <f>SUMIF(B2:B30,"Makanan",D2:D30)</f>
        <v>203000</v>
      </c>
    </row>
    <row r="34" spans="1:4" x14ac:dyDescent="0.25">
      <c r="A34" s="10" t="s">
        <v>34</v>
      </c>
      <c r="D34">
        <f>COUNTIF(B2:B30,"Makanan")</f>
        <v>8</v>
      </c>
    </row>
    <row r="35" spans="1:4" x14ac:dyDescent="0.25">
      <c r="A35" s="10" t="s">
        <v>35</v>
      </c>
      <c r="D35" s="1">
        <f>AVERAGE(D2:D30)</f>
        <v>84586.206896551725</v>
      </c>
    </row>
  </sheetData>
  <dataValidations count="1">
    <dataValidation type="list" allowBlank="1" showInputMessage="1" showErrorMessage="1" sqref="B2:B30" xr:uid="{39C9C638-7C54-4F8B-90E5-F15FAB9EA166}">
      <formula1>$H$1:$H$5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Sheet4</vt:lpstr>
      <vt:lpstr>Sheet5</vt:lpstr>
      <vt:lpstr>Sheet3</vt:lpstr>
      <vt:lpstr>Data Pengeluaran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2026-06-22T14:56:21Z</dcterms:created>
  <dcterms:modified xsi:type="dcterms:W3CDTF">2026-06-22T15:52:58Z</dcterms:modified>
</cp:coreProperties>
</file>