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laragon\www\kursus\assets\files\"/>
    </mc:Choice>
  </mc:AlternateContent>
  <xr:revisionPtr revIDLastSave="0" documentId="13_ncr:1_{F58508A0-CEFB-4042-85A7-DB6DD0BBA31E}" xr6:coauthVersionLast="47" xr6:coauthVersionMax="47" xr10:uidLastSave="{00000000-0000-0000-0000-000000000000}"/>
  <bookViews>
    <workbookView xWindow="-120" yWindow="-120" windowWidth="20730" windowHeight="11040" xr2:uid="{C9D06EBB-04DF-4001-9538-E02B888EFE19}"/>
  </bookViews>
  <sheets>
    <sheet name="Sheet2" sheetId="2" r:id="rId1"/>
    <sheet name="Sheet1" sheetId="1" r:id="rId2"/>
  </sheets>
  <definedNames>
    <definedName name="Slicer_Bulan">#N/A</definedName>
  </definedNames>
  <calcPr calcId="191029"/>
  <pivotCaches>
    <pivotCache cacheId="4"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2" i="1"/>
</calcChain>
</file>

<file path=xl/sharedStrings.xml><?xml version="1.0" encoding="utf-8"?>
<sst xmlns="http://schemas.openxmlformats.org/spreadsheetml/2006/main" count="93" uniqueCount="44">
  <si>
    <t>Tanggal</t>
  </si>
  <si>
    <t>Kategori</t>
  </si>
  <si>
    <t>Deskripsi</t>
  </si>
  <si>
    <t>Jumlah</t>
  </si>
  <si>
    <t>Makanan</t>
  </si>
  <si>
    <t>Transport</t>
  </si>
  <si>
    <t>Belanja</t>
  </si>
  <si>
    <t>Tagihan</t>
  </si>
  <si>
    <t>Hiburan</t>
  </si>
  <si>
    <t>Nasi goreng</t>
  </si>
  <si>
    <t>Bensin</t>
  </si>
  <si>
    <t>Sabun</t>
  </si>
  <si>
    <t>Nonton film</t>
  </si>
  <si>
    <t>Listrik</t>
  </si>
  <si>
    <t>Bakso</t>
  </si>
  <si>
    <t>Parkir</t>
  </si>
  <si>
    <t>Shampoo</t>
  </si>
  <si>
    <t>Ayam geprek</t>
  </si>
  <si>
    <t>Internet</t>
  </si>
  <si>
    <t>Karaoke</t>
  </si>
  <si>
    <t>Tisu</t>
  </si>
  <si>
    <t>Soto ayam</t>
  </si>
  <si>
    <t>Game online</t>
  </si>
  <si>
    <t>Air PDAM</t>
  </si>
  <si>
    <t>Mie ayam</t>
  </si>
  <si>
    <t>Tol</t>
  </si>
  <si>
    <t>Deterjen</t>
  </si>
  <si>
    <t>Streaming</t>
  </si>
  <si>
    <t>Pecel lele</t>
  </si>
  <si>
    <t>Pasta gigi</t>
  </si>
  <si>
    <t>Nasi padang</t>
  </si>
  <si>
    <t>Wisata</t>
  </si>
  <si>
    <t>Beras</t>
  </si>
  <si>
    <t>Bioskop</t>
  </si>
  <si>
    <t>Ayam bakar</t>
  </si>
  <si>
    <t>Servis motor</t>
  </si>
  <si>
    <t>Minyak goreng</t>
  </si>
  <si>
    <t>Sate ayam</t>
  </si>
  <si>
    <t>Konser musik</t>
  </si>
  <si>
    <t>Bulan</t>
  </si>
  <si>
    <t>Jenis</t>
  </si>
  <si>
    <t>Row Labels</t>
  </si>
  <si>
    <t>Grand Total</t>
  </si>
  <si>
    <t>Sum of Jumlah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</si>
</sst>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Rp&quot;* #,##0_-;\-&quot;Rp&quot;* #,##0_-;_-&quot;Rp&quot;* &quot;-&quot;??_-;_-@_-"/>
  </numFmts>
  <fonts count="2" x14ac:knownFonts="1">
    <font>
      <sz val="11"/>
      <color theme="1"/>
      <name val="Aptos Narrow"/>
      <family val="2"/>
      <scheme val="minor"/>
    </font>
    <font>
      <b/>
      <sz val="11"/>
      <color theme="0"/>
      <name val="Aptos Narrow"/>
      <family val="2"/>
      <scheme val="minor"/>
    </font>
  </fonts>
  <fills count="3">
    <fill>
      <patternFill patternType="none"/>
    </fill>
    <fill>
      <patternFill patternType="gray125"/>
    </fill>
    <fill>
      <patternFill patternType="solid">
        <fgColor theme="9"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1">
    <xf numFmtId="0" fontId="0" fillId="0" borderId="0"/>
  </cellStyleXfs>
  <cellXfs count="20">
    <xf numFmtId="0" fontId="0" fillId="0" borderId="0" xfId="0"/>
    <xf numFmtId="0" fontId="0" fillId="0" borderId="1" xfId="0" applyBorder="1" applyAlignment="1">
      <alignment horizontal="left"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4" fontId="0" fillId="0" borderId="4" xfId="0" applyNumberFormat="1" applyBorder="1" applyAlignment="1">
      <alignment horizontal="left" vertical="center"/>
    </xf>
    <xf numFmtId="14" fontId="0" fillId="0" borderId="5" xfId="0" applyNumberFormat="1" applyBorder="1" applyAlignment="1">
      <alignment horizontal="left" vertical="center"/>
    </xf>
    <xf numFmtId="0" fontId="0" fillId="0" borderId="6" xfId="0" applyBorder="1" applyAlignment="1">
      <alignment horizontal="left" vertical="center"/>
    </xf>
    <xf numFmtId="0" fontId="1" fillId="2" borderId="7" xfId="0" applyFont="1" applyFill="1" applyBorder="1" applyAlignment="1">
      <alignment horizontal="center" vertical="center"/>
    </xf>
    <xf numFmtId="164" fontId="0" fillId="0" borderId="8" xfId="0" applyNumberFormat="1" applyBorder="1"/>
    <xf numFmtId="164" fontId="0" fillId="0" borderId="9" xfId="0" applyNumberFormat="1" applyBorder="1"/>
    <xf numFmtId="0" fontId="1" fillId="2" borderId="10" xfId="0" applyFont="1" applyFill="1" applyBorder="1" applyAlignment="1">
      <alignment horizontal="center" vertical="center"/>
    </xf>
    <xf numFmtId="0" fontId="0" fillId="0" borderId="11" xfId="0" applyBorder="1"/>
    <xf numFmtId="0" fontId="0" fillId="0" borderId="12" xfId="0" applyBorder="1"/>
    <xf numFmtId="0" fontId="0" fillId="0" borderId="1" xfId="0" applyBorder="1"/>
    <xf numFmtId="0" fontId="1" fillId="2" borderId="13" xfId="0" applyFont="1" applyFill="1" applyBorder="1" applyAlignment="1">
      <alignment horizontal="center" vertical="center"/>
    </xf>
    <xf numFmtId="0" fontId="0" fillId="0" borderId="14" xfId="0" applyBorder="1"/>
    <xf numFmtId="0" fontId="0" fillId="0" borderId="15" xfId="0" applyBorder="1"/>
    <xf numFmtId="0" fontId="0" fillId="0" borderId="0" xfId="0" pivotButton="1"/>
    <xf numFmtId="0" fontId="0" fillId="0" borderId="0" xfId="0" applyAlignment="1">
      <alignment horizontal="left"/>
    </xf>
    <xf numFmtId="16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[Struktur-Aplikasi-Pencatatan-Pengeluaran.xlsx]Sheet2!PivotTable1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s>
    <c:plotArea>
      <c:layout/>
      <c:pieChart>
        <c:varyColors val="1"/>
        <c:ser>
          <c:idx val="0"/>
          <c:order val="0"/>
          <c:tx>
            <c:strRef>
              <c:f>Sheet2!$B$3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EB07-491E-964F-CB731FE149E0}"/>
              </c:ext>
            </c:extLst>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Sheet2!$A$4:$A$9</c:f>
              <c:strCache>
                <c:ptCount val="5"/>
                <c:pt idx="0">
                  <c:v>Belanja</c:v>
                </c:pt>
                <c:pt idx="1">
                  <c:v>Hiburan</c:v>
                </c:pt>
                <c:pt idx="2">
                  <c:v>Makanan</c:v>
                </c:pt>
                <c:pt idx="3">
                  <c:v>Tagihan</c:v>
                </c:pt>
                <c:pt idx="4">
                  <c:v>Transport</c:v>
                </c:pt>
              </c:strCache>
            </c:strRef>
          </c:cat>
          <c:val>
            <c:numRef>
              <c:f>Sheet2!$B$4:$B$9</c:f>
              <c:numCache>
                <c:formatCode>_-"Rp"* #,##0_-;\-"Rp"* #,##0_-;_-"Rp"* "-"??_-;_-@_-</c:formatCode>
                <c:ptCount val="5"/>
                <c:pt idx="0">
                  <c:v>250000</c:v>
                </c:pt>
                <c:pt idx="1">
                  <c:v>745000</c:v>
                </c:pt>
                <c:pt idx="2">
                  <c:v>265000</c:v>
                </c:pt>
                <c:pt idx="3">
                  <c:v>1535000</c:v>
                </c:pt>
                <c:pt idx="4">
                  <c:v>415000</c:v>
                </c:pt>
              </c:numCache>
            </c:numRef>
          </c:val>
          <c:extLst>
            <c:ext xmlns:c16="http://schemas.microsoft.com/office/drawing/2014/chart" uri="{C3380CC4-5D6E-409C-BE32-E72D297353CC}">
              <c16:uniqueId val="{00000000-EB07-491E-964F-CB731FE149E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600075</xdr:colOff>
      <xdr:row>2</xdr:row>
      <xdr:rowOff>14287</xdr:rowOff>
    </xdr:from>
    <xdr:to>
      <xdr:col>10</xdr:col>
      <xdr:colOff>295275</xdr:colOff>
      <xdr:row>16</xdr:row>
      <xdr:rowOff>90487</xdr:rowOff>
    </xdr:to>
    <xdr:graphicFrame macro="">
      <xdr:nvGraphicFramePr>
        <xdr:cNvPr id="2" name="Chart 1">
          <a:extLst>
            <a:ext uri="{FF2B5EF4-FFF2-40B4-BE49-F238E27FC236}">
              <a16:creationId xmlns:a16="http://schemas.microsoft.com/office/drawing/2014/main" id="{734EE4F7-DF3A-7489-D7D8-319134AA1F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19050</xdr:colOff>
      <xdr:row>2</xdr:row>
      <xdr:rowOff>19050</xdr:rowOff>
    </xdr:from>
    <xdr:to>
      <xdr:col>14</xdr:col>
      <xdr:colOff>19050</xdr:colOff>
      <xdr:row>16</xdr:row>
      <xdr:rowOff>19050</xdr:rowOff>
    </xdr:to>
    <mc:AlternateContent xmlns:mc="http://schemas.openxmlformats.org/markup-compatibility/2006">
      <mc:Choice xmlns:a14="http://schemas.microsoft.com/office/drawing/2010/main" Requires="a14">
        <xdr:graphicFrame macro="">
          <xdr:nvGraphicFramePr>
            <xdr:cNvPr id="3" name="Bulan">
              <a:extLst>
                <a:ext uri="{FF2B5EF4-FFF2-40B4-BE49-F238E27FC236}">
                  <a16:creationId xmlns:a16="http://schemas.microsoft.com/office/drawing/2014/main" id="{9389C62B-06A0-8E87-1011-5EF8A6FCC37B}"/>
                </a:ext>
              </a:extLst>
            </xdr:cNvPr>
            <xdr:cNvGraphicFramePr/>
          </xdr:nvGraphicFramePr>
          <xdr:xfrm>
            <a:off x="0" y="0"/>
            <a:ext cx="0" cy="0"/>
          </xdr:xfrm>
          <a:graphic>
            <a:graphicData uri="http://schemas.microsoft.com/office/drawing/2010/slicer">
              <sle:slicer xmlns:sle="http://schemas.microsoft.com/office/drawing/2010/slicer" name="Bulan"/>
            </a:graphicData>
          </a:graphic>
        </xdr:graphicFrame>
      </mc:Choice>
      <mc:Fallback>
        <xdr:sp macro="" textlink="">
          <xdr:nvSpPr>
            <xdr:cNvPr id="0" name=""/>
            <xdr:cNvSpPr>
              <a:spLocks noTextEdit="1"/>
            </xdr:cNvSpPr>
          </xdr:nvSpPr>
          <xdr:spPr>
            <a:xfrm>
              <a:off x="7343775" y="400050"/>
              <a:ext cx="1828800" cy="2667000"/>
            </a:xfrm>
            <a:prstGeom prst="rect">
              <a:avLst/>
            </a:prstGeom>
            <a:solidFill>
              <a:prstClr val="white"/>
            </a:solidFill>
            <a:ln w="1">
              <a:solidFill>
                <a:prstClr val="green"/>
              </a:solidFill>
            </a:ln>
          </xdr:spPr>
          <xdr:txBody>
            <a:bodyPr vertOverflow="clip" horzOverflow="clip"/>
            <a:lstStyle/>
            <a:p>
              <a:r>
                <a:rPr lang="id-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NY" refreshedDate="46195.905081365738" createdVersion="8" refreshedVersion="8" minRefreshableVersion="3" recordCount="37" xr:uid="{2DD91371-F1DE-450A-9491-6B471BBD93B5}">
  <cacheSource type="worksheet">
    <worksheetSource ref="A1:F38" sheet="Sheet1"/>
  </cacheSource>
  <cacheFields count="6">
    <cacheField name="Tanggal" numFmtId="14">
      <sharedItems containsSemiMixedTypes="0" containsNonDate="0" containsDate="1" containsString="0" minDate="2025-01-01T00:00:00" maxDate="2025-03-28T00:00:00"/>
    </cacheField>
    <cacheField name="Kategori" numFmtId="0">
      <sharedItems count="5">
        <s v="Makanan"/>
        <s v="Transport"/>
        <s v="Belanja"/>
        <s v="Hiburan"/>
        <s v="Tagihan"/>
      </sharedItems>
    </cacheField>
    <cacheField name="Deskripsi" numFmtId="0">
      <sharedItems/>
    </cacheField>
    <cacheField name="Jumlah" numFmtId="164">
      <sharedItems containsSemiMixedTypes="0" containsString="0" containsNumber="1" containsInteger="1" minValue="10000" maxValue="375000"/>
    </cacheField>
    <cacheField name="Bulan" numFmtId="0">
      <sharedItems count="3">
        <s v="Jan"/>
        <s v="Feb"/>
        <s v="Mar"/>
      </sharedItems>
    </cacheField>
    <cacheField name="Jenis" numFmtId="0">
      <sharedItems/>
    </cacheField>
  </cacheFields>
  <extLst>
    <ext xmlns:x14="http://schemas.microsoft.com/office/spreadsheetml/2009/9/main" uri="{725AE2AE-9491-48be-B2B4-4EB974FC3084}">
      <x14:pivotCacheDefinition pivotCacheId="17687018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d v="2025-01-01T00:00:00"/>
    <x v="0"/>
    <s v="Nasi goreng"/>
    <n v="25000"/>
    <x v="0"/>
    <s v="Kebutuhan"/>
  </r>
  <r>
    <d v="2025-01-02T00:00:00"/>
    <x v="1"/>
    <s v="Bensin"/>
    <n v="50000"/>
    <x v="0"/>
    <s v="Kebutuhan"/>
  </r>
  <r>
    <d v="2025-01-03T00:00:00"/>
    <x v="2"/>
    <s v="Sabun"/>
    <n v="15000"/>
    <x v="0"/>
    <s v="Keinginan"/>
  </r>
  <r>
    <d v="2025-01-04T00:00:00"/>
    <x v="3"/>
    <s v="Nonton film"/>
    <n v="50000"/>
    <x v="0"/>
    <s v="Keinginan"/>
  </r>
  <r>
    <d v="2025-01-05T00:00:00"/>
    <x v="4"/>
    <s v="Listrik"/>
    <n v="350000"/>
    <x v="0"/>
    <s v="Kebutuhan"/>
  </r>
  <r>
    <d v="2025-01-07T00:00:00"/>
    <x v="0"/>
    <s v="Bakso"/>
    <n v="20000"/>
    <x v="0"/>
    <s v="Kebutuhan"/>
  </r>
  <r>
    <d v="2025-01-09T00:00:00"/>
    <x v="1"/>
    <s v="Parkir"/>
    <n v="10000"/>
    <x v="0"/>
    <s v="Kebutuhan"/>
  </r>
  <r>
    <d v="2025-01-11T00:00:00"/>
    <x v="2"/>
    <s v="Shampoo"/>
    <n v="35000"/>
    <x v="0"/>
    <s v="Keinginan"/>
  </r>
  <r>
    <d v="2025-01-13T00:00:00"/>
    <x v="0"/>
    <s v="Ayam geprek"/>
    <n v="30000"/>
    <x v="0"/>
    <s v="Kebutuhan"/>
  </r>
  <r>
    <d v="2025-01-15T00:00:00"/>
    <x v="4"/>
    <s v="Internet"/>
    <n v="300000"/>
    <x v="0"/>
    <s v="Kebutuhan"/>
  </r>
  <r>
    <d v="2025-01-18T00:00:00"/>
    <x v="3"/>
    <s v="Karaoke"/>
    <n v="75000"/>
    <x v="0"/>
    <s v="Keinginan"/>
  </r>
  <r>
    <d v="2025-01-20T00:00:00"/>
    <x v="1"/>
    <s v="Bensin"/>
    <n v="60000"/>
    <x v="0"/>
    <s v="Kebutuhan"/>
  </r>
  <r>
    <d v="2025-01-22T00:00:00"/>
    <x v="2"/>
    <s v="Tisu"/>
    <n v="12000"/>
    <x v="0"/>
    <s v="Keinginan"/>
  </r>
  <r>
    <d v="2025-01-25T00:00:00"/>
    <x v="0"/>
    <s v="Soto ayam"/>
    <n v="25000"/>
    <x v="0"/>
    <s v="Kebutuhan"/>
  </r>
  <r>
    <d v="2025-01-28T00:00:00"/>
    <x v="3"/>
    <s v="Game online"/>
    <n v="100000"/>
    <x v="0"/>
    <s v="Keinginan"/>
  </r>
  <r>
    <d v="2025-02-02T00:00:00"/>
    <x v="4"/>
    <s v="Air PDAM"/>
    <n v="100000"/>
    <x v="1"/>
    <s v="Kebutuhan"/>
  </r>
  <r>
    <d v="2025-02-04T00:00:00"/>
    <x v="0"/>
    <s v="Mie ayam"/>
    <n v="18000"/>
    <x v="1"/>
    <s v="Kebutuhan"/>
  </r>
  <r>
    <d v="2025-02-06T00:00:00"/>
    <x v="1"/>
    <s v="Tol"/>
    <n v="25000"/>
    <x v="1"/>
    <s v="Kebutuhan"/>
  </r>
  <r>
    <d v="2025-02-08T00:00:00"/>
    <x v="2"/>
    <s v="Deterjen"/>
    <n v="45000"/>
    <x v="1"/>
    <s v="Keinginan"/>
  </r>
  <r>
    <d v="2025-02-10T00:00:00"/>
    <x v="3"/>
    <s v="Streaming"/>
    <n v="60000"/>
    <x v="1"/>
    <s v="Keinginan"/>
  </r>
  <r>
    <d v="2025-02-12T00:00:00"/>
    <x v="0"/>
    <s v="Pecel lele"/>
    <n v="28000"/>
    <x v="1"/>
    <s v="Kebutuhan"/>
  </r>
  <r>
    <d v="2025-02-15T00:00:00"/>
    <x v="4"/>
    <s v="Listrik"/>
    <n v="375000"/>
    <x v="1"/>
    <s v="Kebutuhan"/>
  </r>
  <r>
    <d v="2025-02-18T00:00:00"/>
    <x v="1"/>
    <s v="Bensin"/>
    <n v="55000"/>
    <x v="1"/>
    <s v="Kebutuhan"/>
  </r>
  <r>
    <d v="2025-02-20T00:00:00"/>
    <x v="2"/>
    <s v="Pasta gigi"/>
    <n v="18000"/>
    <x v="1"/>
    <s v="Keinginan"/>
  </r>
  <r>
    <d v="2025-02-23T00:00:00"/>
    <x v="0"/>
    <s v="Nasi padang"/>
    <n v="35000"/>
    <x v="1"/>
    <s v="Kebutuhan"/>
  </r>
  <r>
    <d v="2025-02-26T00:00:00"/>
    <x v="3"/>
    <s v="Wisata"/>
    <n v="150000"/>
    <x v="1"/>
    <s v="Keinginan"/>
  </r>
  <r>
    <d v="2025-03-01T00:00:00"/>
    <x v="4"/>
    <s v="Internet"/>
    <n v="300000"/>
    <x v="2"/>
    <s v="Kebutuhan"/>
  </r>
  <r>
    <d v="2025-03-03T00:00:00"/>
    <x v="0"/>
    <s v="Bakso"/>
    <n v="22000"/>
    <x v="2"/>
    <s v="Kebutuhan"/>
  </r>
  <r>
    <d v="2025-03-05T00:00:00"/>
    <x v="1"/>
    <s v="Bensin"/>
    <n v="65000"/>
    <x v="2"/>
    <s v="Kebutuhan"/>
  </r>
  <r>
    <d v="2025-03-08T00:00:00"/>
    <x v="2"/>
    <s v="Beras"/>
    <n v="80000"/>
    <x v="2"/>
    <s v="Keinginan"/>
  </r>
  <r>
    <d v="2025-03-10T00:00:00"/>
    <x v="3"/>
    <s v="Bioskop"/>
    <n v="60000"/>
    <x v="2"/>
    <s v="Keinginan"/>
  </r>
  <r>
    <d v="2025-03-12T00:00:00"/>
    <x v="0"/>
    <s v="Ayam bakar"/>
    <n v="32000"/>
    <x v="2"/>
    <s v="Kebutuhan"/>
  </r>
  <r>
    <d v="2025-03-15T00:00:00"/>
    <x v="4"/>
    <s v="Air PDAM"/>
    <n v="110000"/>
    <x v="2"/>
    <s v="Kebutuhan"/>
  </r>
  <r>
    <d v="2025-03-18T00:00:00"/>
    <x v="1"/>
    <s v="Servis motor"/>
    <n v="150000"/>
    <x v="2"/>
    <s v="Kebutuhan"/>
  </r>
  <r>
    <d v="2025-03-20T00:00:00"/>
    <x v="2"/>
    <s v="Minyak goreng"/>
    <n v="45000"/>
    <x v="2"/>
    <s v="Keinginan"/>
  </r>
  <r>
    <d v="2025-03-23T00:00:00"/>
    <x v="0"/>
    <s v="Sate ayam"/>
    <n v="30000"/>
    <x v="2"/>
    <s v="Kebutuhan"/>
  </r>
  <r>
    <d v="2025-03-27T00:00:00"/>
    <x v="3"/>
    <s v="Konser musik"/>
    <n v="250000"/>
    <x v="2"/>
    <s v="Keingina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418DD0-0703-40CE-B2B4-ADC8EE33076E}"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pivotFields count="6">
    <pivotField numFmtId="14" showAll="0"/>
    <pivotField axis="axisRow" showAll="0">
      <items count="6">
        <item x="2"/>
        <item x="3"/>
        <item x="0"/>
        <item x="4"/>
        <item x="1"/>
        <item t="default"/>
      </items>
    </pivotField>
    <pivotField showAll="0"/>
    <pivotField dataField="1" numFmtId="164" showAll="0"/>
    <pivotField showAll="0">
      <items count="4">
        <item x="0"/>
        <item x="1"/>
        <item x="2"/>
        <item t="default"/>
      </items>
    </pivotField>
    <pivotField showAll="0"/>
  </pivotFields>
  <rowFields count="1">
    <field x="1"/>
  </rowFields>
  <rowItems count="6">
    <i>
      <x/>
    </i>
    <i>
      <x v="1"/>
    </i>
    <i>
      <x v="2"/>
    </i>
    <i>
      <x v="3"/>
    </i>
    <i>
      <x v="4"/>
    </i>
    <i t="grand">
      <x/>
    </i>
  </rowItems>
  <colItems count="1">
    <i/>
  </colItems>
  <dataFields count="1">
    <dataField name="Sum of Jumlah" fld="3" baseField="0" baseItem="0" numFmtId="164"/>
  </dataFields>
  <conditionalFormats count="1">
    <conditionalFormat type="all" priority="1">
      <pivotAreas count="1">
        <pivotArea type="data" collapsedLevelsAreSubtotals="1" fieldPosition="0">
          <references count="2">
            <reference field="4294967294" count="1" selected="0">
              <x v="0"/>
            </reference>
            <reference field="1" count="5">
              <x v="0"/>
              <x v="1"/>
              <x v="2"/>
              <x v="3"/>
              <x v="4"/>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lan" xr10:uid="{9C968ADD-3343-44F9-9751-2906AD0A0BE8}" sourceName="Bulan">
  <pivotTables>
    <pivotTable tabId="2" name="PivotTable1"/>
  </pivotTables>
  <data>
    <tabular pivotCacheId="176870188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lan" xr10:uid="{96254482-100A-4990-960B-2BA2E60C000C}" cache="Slicer_Bulan" caption="Bulan"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3CBB8-D673-46AD-AF5D-E0094FCB34EC}">
  <dimension ref="A3:B9"/>
  <sheetViews>
    <sheetView tabSelected="1" workbookViewId="0">
      <selection activeCell="Q6" sqref="Q6"/>
    </sheetView>
  </sheetViews>
  <sheetFormatPr defaultRowHeight="15" x14ac:dyDescent="0.25"/>
  <cols>
    <col min="1" max="1" width="13.42578125" bestFit="1" customWidth="1"/>
    <col min="2" max="2" width="14.140625" bestFit="1" customWidth="1"/>
  </cols>
  <sheetData>
    <row r="3" spans="1:2" x14ac:dyDescent="0.25">
      <c r="A3" s="17" t="s">
        <v>41</v>
      </c>
      <c r="B3" t="s">
        <v>43</v>
      </c>
    </row>
    <row r="4" spans="1:2" x14ac:dyDescent="0.25">
      <c r="A4" s="18" t="s">
        <v>6</v>
      </c>
      <c r="B4" s="19">
        <v>250000</v>
      </c>
    </row>
    <row r="5" spans="1:2" x14ac:dyDescent="0.25">
      <c r="A5" s="18" t="s">
        <v>8</v>
      </c>
      <c r="B5" s="19">
        <v>745000</v>
      </c>
    </row>
    <row r="6" spans="1:2" x14ac:dyDescent="0.25">
      <c r="A6" s="18" t="s">
        <v>4</v>
      </c>
      <c r="B6" s="19">
        <v>265000</v>
      </c>
    </row>
    <row r="7" spans="1:2" x14ac:dyDescent="0.25">
      <c r="A7" s="18" t="s">
        <v>7</v>
      </c>
      <c r="B7" s="19">
        <v>1535000</v>
      </c>
    </row>
    <row r="8" spans="1:2" x14ac:dyDescent="0.25">
      <c r="A8" s="18" t="s">
        <v>5</v>
      </c>
      <c r="B8" s="19">
        <v>415000</v>
      </c>
    </row>
    <row r="9" spans="1:2" x14ac:dyDescent="0.25">
      <c r="A9" s="18" t="s">
        <v>42</v>
      </c>
      <c r="B9" s="19">
        <v>3210000</v>
      </c>
    </row>
  </sheetData>
  <conditionalFormatting pivot="1" sqref="B4:B8">
    <cfRule type="aboveAverage" dxfId="0" priority="1"/>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B7E07-3524-4204-A8C8-320EC242A95F}">
  <dimension ref="A1:H38"/>
  <sheetViews>
    <sheetView workbookViewId="0">
      <selection activeCell="B4" sqref="B4"/>
    </sheetView>
  </sheetViews>
  <sheetFormatPr defaultRowHeight="15" x14ac:dyDescent="0.25"/>
  <cols>
    <col min="1" max="1" width="12.5703125" customWidth="1"/>
    <col min="2" max="2" width="12.28515625" customWidth="1"/>
    <col min="3" max="3" width="15.85546875" customWidth="1"/>
    <col min="4" max="4" width="16.42578125" customWidth="1"/>
    <col min="6" max="6" width="11.5703125" customWidth="1"/>
  </cols>
  <sheetData>
    <row r="1" spans="1:8" x14ac:dyDescent="0.25">
      <c r="A1" s="2" t="s">
        <v>0</v>
      </c>
      <c r="B1" s="3" t="s">
        <v>1</v>
      </c>
      <c r="C1" s="3" t="s">
        <v>2</v>
      </c>
      <c r="D1" s="7" t="s">
        <v>3</v>
      </c>
      <c r="E1" s="14" t="s">
        <v>39</v>
      </c>
      <c r="F1" s="10" t="s">
        <v>40</v>
      </c>
      <c r="H1" s="13" t="s">
        <v>4</v>
      </c>
    </row>
    <row r="2" spans="1:8" x14ac:dyDescent="0.25">
      <c r="A2" s="4">
        <v>45658</v>
      </c>
      <c r="B2" s="1" t="s">
        <v>4</v>
      </c>
      <c r="C2" s="1" t="s">
        <v>9</v>
      </c>
      <c r="D2" s="8">
        <v>25000</v>
      </c>
      <c r="E2" s="15" t="str">
        <f>TEXT(A2,"MMM")</f>
        <v>Jan</v>
      </c>
      <c r="F2" s="11" t="str">
        <f>IF(OR(B2="Makanan",B2="Tagihan",B2="Transport"),"Kebutuhan","Keinginan")</f>
        <v>Kebutuhan</v>
      </c>
      <c r="H2" s="13" t="s">
        <v>5</v>
      </c>
    </row>
    <row r="3" spans="1:8" x14ac:dyDescent="0.25">
      <c r="A3" s="4">
        <v>45659</v>
      </c>
      <c r="B3" s="1" t="s">
        <v>5</v>
      </c>
      <c r="C3" s="1" t="s">
        <v>10</v>
      </c>
      <c r="D3" s="8">
        <v>50000</v>
      </c>
      <c r="E3" s="15" t="str">
        <f t="shared" ref="E3:E38" si="0">TEXT(A3,"MMM")</f>
        <v>Jan</v>
      </c>
      <c r="F3" s="11" t="str">
        <f t="shared" ref="F3:F38" si="1">IF(OR(B3="Makanan",B3="Tagihan",B3="Transport"),"Kebutuhan","Keinginan")</f>
        <v>Kebutuhan</v>
      </c>
      <c r="H3" s="13" t="s">
        <v>6</v>
      </c>
    </row>
    <row r="4" spans="1:8" x14ac:dyDescent="0.25">
      <c r="A4" s="4">
        <v>45660</v>
      </c>
      <c r="B4" s="1" t="s">
        <v>6</v>
      </c>
      <c r="C4" s="1" t="s">
        <v>11</v>
      </c>
      <c r="D4" s="8">
        <v>15000</v>
      </c>
      <c r="E4" s="15" t="str">
        <f t="shared" si="0"/>
        <v>Jan</v>
      </c>
      <c r="F4" s="11" t="str">
        <f t="shared" si="1"/>
        <v>Keinginan</v>
      </c>
      <c r="H4" s="13" t="s">
        <v>7</v>
      </c>
    </row>
    <row r="5" spans="1:8" x14ac:dyDescent="0.25">
      <c r="A5" s="4">
        <v>45661</v>
      </c>
      <c r="B5" s="1" t="s">
        <v>8</v>
      </c>
      <c r="C5" s="1" t="s">
        <v>12</v>
      </c>
      <c r="D5" s="8">
        <v>50000</v>
      </c>
      <c r="E5" s="15" t="str">
        <f t="shared" si="0"/>
        <v>Jan</v>
      </c>
      <c r="F5" s="11" t="str">
        <f t="shared" si="1"/>
        <v>Keinginan</v>
      </c>
      <c r="H5" s="13" t="s">
        <v>8</v>
      </c>
    </row>
    <row r="6" spans="1:8" x14ac:dyDescent="0.25">
      <c r="A6" s="4">
        <v>45662</v>
      </c>
      <c r="B6" s="1" t="s">
        <v>7</v>
      </c>
      <c r="C6" s="1" t="s">
        <v>13</v>
      </c>
      <c r="D6" s="8">
        <v>350000</v>
      </c>
      <c r="E6" s="15" t="str">
        <f t="shared" si="0"/>
        <v>Jan</v>
      </c>
      <c r="F6" s="11" t="str">
        <f t="shared" si="1"/>
        <v>Kebutuhan</v>
      </c>
    </row>
    <row r="7" spans="1:8" x14ac:dyDescent="0.25">
      <c r="A7" s="4">
        <v>45664</v>
      </c>
      <c r="B7" s="1" t="s">
        <v>4</v>
      </c>
      <c r="C7" s="1" t="s">
        <v>14</v>
      </c>
      <c r="D7" s="8">
        <v>20000</v>
      </c>
      <c r="E7" s="15" t="str">
        <f t="shared" si="0"/>
        <v>Jan</v>
      </c>
      <c r="F7" s="11" t="str">
        <f t="shared" si="1"/>
        <v>Kebutuhan</v>
      </c>
    </row>
    <row r="8" spans="1:8" x14ac:dyDescent="0.25">
      <c r="A8" s="4">
        <v>45666</v>
      </c>
      <c r="B8" s="1" t="s">
        <v>5</v>
      </c>
      <c r="C8" s="1" t="s">
        <v>15</v>
      </c>
      <c r="D8" s="8">
        <v>10000</v>
      </c>
      <c r="E8" s="15" t="str">
        <f t="shared" si="0"/>
        <v>Jan</v>
      </c>
      <c r="F8" s="11" t="str">
        <f t="shared" si="1"/>
        <v>Kebutuhan</v>
      </c>
    </row>
    <row r="9" spans="1:8" x14ac:dyDescent="0.25">
      <c r="A9" s="4">
        <v>45668</v>
      </c>
      <c r="B9" s="1" t="s">
        <v>6</v>
      </c>
      <c r="C9" s="1" t="s">
        <v>16</v>
      </c>
      <c r="D9" s="8">
        <v>35000</v>
      </c>
      <c r="E9" s="15" t="str">
        <f t="shared" si="0"/>
        <v>Jan</v>
      </c>
      <c r="F9" s="11" t="str">
        <f t="shared" si="1"/>
        <v>Keinginan</v>
      </c>
    </row>
    <row r="10" spans="1:8" x14ac:dyDescent="0.25">
      <c r="A10" s="4">
        <v>45670</v>
      </c>
      <c r="B10" s="1" t="s">
        <v>4</v>
      </c>
      <c r="C10" s="1" t="s">
        <v>17</v>
      </c>
      <c r="D10" s="8">
        <v>30000</v>
      </c>
      <c r="E10" s="15" t="str">
        <f t="shared" si="0"/>
        <v>Jan</v>
      </c>
      <c r="F10" s="11" t="str">
        <f t="shared" si="1"/>
        <v>Kebutuhan</v>
      </c>
    </row>
    <row r="11" spans="1:8" x14ac:dyDescent="0.25">
      <c r="A11" s="4">
        <v>45672</v>
      </c>
      <c r="B11" s="1" t="s">
        <v>7</v>
      </c>
      <c r="C11" s="1" t="s">
        <v>18</v>
      </c>
      <c r="D11" s="8">
        <v>300000</v>
      </c>
      <c r="E11" s="15" t="str">
        <f t="shared" si="0"/>
        <v>Jan</v>
      </c>
      <c r="F11" s="11" t="str">
        <f t="shared" si="1"/>
        <v>Kebutuhan</v>
      </c>
    </row>
    <row r="12" spans="1:8" x14ac:dyDescent="0.25">
      <c r="A12" s="4">
        <v>45675</v>
      </c>
      <c r="B12" s="1" t="s">
        <v>8</v>
      </c>
      <c r="C12" s="1" t="s">
        <v>19</v>
      </c>
      <c r="D12" s="8">
        <v>75000</v>
      </c>
      <c r="E12" s="15" t="str">
        <f t="shared" si="0"/>
        <v>Jan</v>
      </c>
      <c r="F12" s="11" t="str">
        <f t="shared" si="1"/>
        <v>Keinginan</v>
      </c>
    </row>
    <row r="13" spans="1:8" x14ac:dyDescent="0.25">
      <c r="A13" s="4">
        <v>45677</v>
      </c>
      <c r="B13" s="1" t="s">
        <v>5</v>
      </c>
      <c r="C13" s="1" t="s">
        <v>10</v>
      </c>
      <c r="D13" s="8">
        <v>60000</v>
      </c>
      <c r="E13" s="15" t="str">
        <f t="shared" si="0"/>
        <v>Jan</v>
      </c>
      <c r="F13" s="11" t="str">
        <f t="shared" si="1"/>
        <v>Kebutuhan</v>
      </c>
    </row>
    <row r="14" spans="1:8" x14ac:dyDescent="0.25">
      <c r="A14" s="4">
        <v>45679</v>
      </c>
      <c r="B14" s="1" t="s">
        <v>6</v>
      </c>
      <c r="C14" s="1" t="s">
        <v>20</v>
      </c>
      <c r="D14" s="8">
        <v>12000</v>
      </c>
      <c r="E14" s="15" t="str">
        <f t="shared" si="0"/>
        <v>Jan</v>
      </c>
      <c r="F14" s="11" t="str">
        <f t="shared" si="1"/>
        <v>Keinginan</v>
      </c>
    </row>
    <row r="15" spans="1:8" x14ac:dyDescent="0.25">
      <c r="A15" s="4">
        <v>45682</v>
      </c>
      <c r="B15" s="1" t="s">
        <v>4</v>
      </c>
      <c r="C15" s="1" t="s">
        <v>21</v>
      </c>
      <c r="D15" s="8">
        <v>25000</v>
      </c>
      <c r="E15" s="15" t="str">
        <f t="shared" si="0"/>
        <v>Jan</v>
      </c>
      <c r="F15" s="11" t="str">
        <f t="shared" si="1"/>
        <v>Kebutuhan</v>
      </c>
    </row>
    <row r="16" spans="1:8" x14ac:dyDescent="0.25">
      <c r="A16" s="4">
        <v>45685</v>
      </c>
      <c r="B16" s="1" t="s">
        <v>8</v>
      </c>
      <c r="C16" s="1" t="s">
        <v>22</v>
      </c>
      <c r="D16" s="8">
        <v>100000</v>
      </c>
      <c r="E16" s="15" t="str">
        <f t="shared" si="0"/>
        <v>Jan</v>
      </c>
      <c r="F16" s="11" t="str">
        <f t="shared" si="1"/>
        <v>Keinginan</v>
      </c>
    </row>
    <row r="17" spans="1:6" x14ac:dyDescent="0.25">
      <c r="A17" s="4">
        <v>45690</v>
      </c>
      <c r="B17" s="1" t="s">
        <v>7</v>
      </c>
      <c r="C17" s="1" t="s">
        <v>23</v>
      </c>
      <c r="D17" s="8">
        <v>100000</v>
      </c>
      <c r="E17" s="15" t="str">
        <f t="shared" si="0"/>
        <v>Feb</v>
      </c>
      <c r="F17" s="11" t="str">
        <f t="shared" si="1"/>
        <v>Kebutuhan</v>
      </c>
    </row>
    <row r="18" spans="1:6" x14ac:dyDescent="0.25">
      <c r="A18" s="4">
        <v>45692</v>
      </c>
      <c r="B18" s="1" t="s">
        <v>4</v>
      </c>
      <c r="C18" s="1" t="s">
        <v>24</v>
      </c>
      <c r="D18" s="8">
        <v>18000</v>
      </c>
      <c r="E18" s="15" t="str">
        <f t="shared" si="0"/>
        <v>Feb</v>
      </c>
      <c r="F18" s="11" t="str">
        <f t="shared" si="1"/>
        <v>Kebutuhan</v>
      </c>
    </row>
    <row r="19" spans="1:6" x14ac:dyDescent="0.25">
      <c r="A19" s="4">
        <v>45694</v>
      </c>
      <c r="B19" s="1" t="s">
        <v>5</v>
      </c>
      <c r="C19" s="1" t="s">
        <v>25</v>
      </c>
      <c r="D19" s="8">
        <v>25000</v>
      </c>
      <c r="E19" s="15" t="str">
        <f t="shared" si="0"/>
        <v>Feb</v>
      </c>
      <c r="F19" s="11" t="str">
        <f t="shared" si="1"/>
        <v>Kebutuhan</v>
      </c>
    </row>
    <row r="20" spans="1:6" x14ac:dyDescent="0.25">
      <c r="A20" s="4">
        <v>45696</v>
      </c>
      <c r="B20" s="1" t="s">
        <v>6</v>
      </c>
      <c r="C20" s="1" t="s">
        <v>26</v>
      </c>
      <c r="D20" s="8">
        <v>45000</v>
      </c>
      <c r="E20" s="15" t="str">
        <f t="shared" si="0"/>
        <v>Feb</v>
      </c>
      <c r="F20" s="11" t="str">
        <f t="shared" si="1"/>
        <v>Keinginan</v>
      </c>
    </row>
    <row r="21" spans="1:6" x14ac:dyDescent="0.25">
      <c r="A21" s="4">
        <v>45698</v>
      </c>
      <c r="B21" s="1" t="s">
        <v>8</v>
      </c>
      <c r="C21" s="1" t="s">
        <v>27</v>
      </c>
      <c r="D21" s="8">
        <v>60000</v>
      </c>
      <c r="E21" s="15" t="str">
        <f t="shared" si="0"/>
        <v>Feb</v>
      </c>
      <c r="F21" s="11" t="str">
        <f t="shared" si="1"/>
        <v>Keinginan</v>
      </c>
    </row>
    <row r="22" spans="1:6" x14ac:dyDescent="0.25">
      <c r="A22" s="4">
        <v>45700</v>
      </c>
      <c r="B22" s="1" t="s">
        <v>4</v>
      </c>
      <c r="C22" s="1" t="s">
        <v>28</v>
      </c>
      <c r="D22" s="8">
        <v>28000</v>
      </c>
      <c r="E22" s="15" t="str">
        <f t="shared" si="0"/>
        <v>Feb</v>
      </c>
      <c r="F22" s="11" t="str">
        <f t="shared" si="1"/>
        <v>Kebutuhan</v>
      </c>
    </row>
    <row r="23" spans="1:6" x14ac:dyDescent="0.25">
      <c r="A23" s="4">
        <v>45703</v>
      </c>
      <c r="B23" s="1" t="s">
        <v>7</v>
      </c>
      <c r="C23" s="1" t="s">
        <v>13</v>
      </c>
      <c r="D23" s="8">
        <v>375000</v>
      </c>
      <c r="E23" s="15" t="str">
        <f t="shared" si="0"/>
        <v>Feb</v>
      </c>
      <c r="F23" s="11" t="str">
        <f t="shared" si="1"/>
        <v>Kebutuhan</v>
      </c>
    </row>
    <row r="24" spans="1:6" x14ac:dyDescent="0.25">
      <c r="A24" s="4">
        <v>45706</v>
      </c>
      <c r="B24" s="1" t="s">
        <v>5</v>
      </c>
      <c r="C24" s="1" t="s">
        <v>10</v>
      </c>
      <c r="D24" s="8">
        <v>55000</v>
      </c>
      <c r="E24" s="15" t="str">
        <f t="shared" si="0"/>
        <v>Feb</v>
      </c>
      <c r="F24" s="11" t="str">
        <f t="shared" si="1"/>
        <v>Kebutuhan</v>
      </c>
    </row>
    <row r="25" spans="1:6" x14ac:dyDescent="0.25">
      <c r="A25" s="4">
        <v>45708</v>
      </c>
      <c r="B25" s="1" t="s">
        <v>6</v>
      </c>
      <c r="C25" s="1" t="s">
        <v>29</v>
      </c>
      <c r="D25" s="8">
        <v>18000</v>
      </c>
      <c r="E25" s="15" t="str">
        <f t="shared" si="0"/>
        <v>Feb</v>
      </c>
      <c r="F25" s="11" t="str">
        <f t="shared" si="1"/>
        <v>Keinginan</v>
      </c>
    </row>
    <row r="26" spans="1:6" x14ac:dyDescent="0.25">
      <c r="A26" s="4">
        <v>45711</v>
      </c>
      <c r="B26" s="1" t="s">
        <v>4</v>
      </c>
      <c r="C26" s="1" t="s">
        <v>30</v>
      </c>
      <c r="D26" s="8">
        <v>35000</v>
      </c>
      <c r="E26" s="15" t="str">
        <f t="shared" si="0"/>
        <v>Feb</v>
      </c>
      <c r="F26" s="11" t="str">
        <f t="shared" si="1"/>
        <v>Kebutuhan</v>
      </c>
    </row>
    <row r="27" spans="1:6" x14ac:dyDescent="0.25">
      <c r="A27" s="4">
        <v>45714</v>
      </c>
      <c r="B27" s="1" t="s">
        <v>8</v>
      </c>
      <c r="C27" s="1" t="s">
        <v>31</v>
      </c>
      <c r="D27" s="8">
        <v>150000</v>
      </c>
      <c r="E27" s="15" t="str">
        <f t="shared" si="0"/>
        <v>Feb</v>
      </c>
      <c r="F27" s="11" t="str">
        <f t="shared" si="1"/>
        <v>Keinginan</v>
      </c>
    </row>
    <row r="28" spans="1:6" x14ac:dyDescent="0.25">
      <c r="A28" s="4">
        <v>45717</v>
      </c>
      <c r="B28" s="1" t="s">
        <v>7</v>
      </c>
      <c r="C28" s="1" t="s">
        <v>18</v>
      </c>
      <c r="D28" s="8">
        <v>300000</v>
      </c>
      <c r="E28" s="15" t="str">
        <f t="shared" si="0"/>
        <v>Mar</v>
      </c>
      <c r="F28" s="11" t="str">
        <f t="shared" si="1"/>
        <v>Kebutuhan</v>
      </c>
    </row>
    <row r="29" spans="1:6" x14ac:dyDescent="0.25">
      <c r="A29" s="4">
        <v>45719</v>
      </c>
      <c r="B29" s="1" t="s">
        <v>4</v>
      </c>
      <c r="C29" s="1" t="s">
        <v>14</v>
      </c>
      <c r="D29" s="8">
        <v>22000</v>
      </c>
      <c r="E29" s="15" t="str">
        <f t="shared" si="0"/>
        <v>Mar</v>
      </c>
      <c r="F29" s="11" t="str">
        <f t="shared" si="1"/>
        <v>Kebutuhan</v>
      </c>
    </row>
    <row r="30" spans="1:6" x14ac:dyDescent="0.25">
      <c r="A30" s="4">
        <v>45721</v>
      </c>
      <c r="B30" s="1" t="s">
        <v>5</v>
      </c>
      <c r="C30" s="1" t="s">
        <v>10</v>
      </c>
      <c r="D30" s="8">
        <v>65000</v>
      </c>
      <c r="E30" s="15" t="str">
        <f t="shared" si="0"/>
        <v>Mar</v>
      </c>
      <c r="F30" s="11" t="str">
        <f t="shared" si="1"/>
        <v>Kebutuhan</v>
      </c>
    </row>
    <row r="31" spans="1:6" x14ac:dyDescent="0.25">
      <c r="A31" s="4">
        <v>45724</v>
      </c>
      <c r="B31" s="1" t="s">
        <v>6</v>
      </c>
      <c r="C31" s="1" t="s">
        <v>32</v>
      </c>
      <c r="D31" s="8">
        <v>80000</v>
      </c>
      <c r="E31" s="15" t="str">
        <f t="shared" si="0"/>
        <v>Mar</v>
      </c>
      <c r="F31" s="11" t="str">
        <f t="shared" si="1"/>
        <v>Keinginan</v>
      </c>
    </row>
    <row r="32" spans="1:6" x14ac:dyDescent="0.25">
      <c r="A32" s="4">
        <v>45726</v>
      </c>
      <c r="B32" s="1" t="s">
        <v>8</v>
      </c>
      <c r="C32" s="1" t="s">
        <v>33</v>
      </c>
      <c r="D32" s="8">
        <v>60000</v>
      </c>
      <c r="E32" s="15" t="str">
        <f t="shared" si="0"/>
        <v>Mar</v>
      </c>
      <c r="F32" s="11" t="str">
        <f t="shared" si="1"/>
        <v>Keinginan</v>
      </c>
    </row>
    <row r="33" spans="1:6" x14ac:dyDescent="0.25">
      <c r="A33" s="4">
        <v>45728</v>
      </c>
      <c r="B33" s="1" t="s">
        <v>4</v>
      </c>
      <c r="C33" s="1" t="s">
        <v>34</v>
      </c>
      <c r="D33" s="8">
        <v>32000</v>
      </c>
      <c r="E33" s="15" t="str">
        <f t="shared" si="0"/>
        <v>Mar</v>
      </c>
      <c r="F33" s="11" t="str">
        <f t="shared" si="1"/>
        <v>Kebutuhan</v>
      </c>
    </row>
    <row r="34" spans="1:6" x14ac:dyDescent="0.25">
      <c r="A34" s="4">
        <v>45731</v>
      </c>
      <c r="B34" s="1" t="s">
        <v>7</v>
      </c>
      <c r="C34" s="1" t="s">
        <v>23</v>
      </c>
      <c r="D34" s="8">
        <v>110000</v>
      </c>
      <c r="E34" s="15" t="str">
        <f t="shared" si="0"/>
        <v>Mar</v>
      </c>
      <c r="F34" s="11" t="str">
        <f t="shared" si="1"/>
        <v>Kebutuhan</v>
      </c>
    </row>
    <row r="35" spans="1:6" x14ac:dyDescent="0.25">
      <c r="A35" s="4">
        <v>45734</v>
      </c>
      <c r="B35" s="1" t="s">
        <v>5</v>
      </c>
      <c r="C35" s="1" t="s">
        <v>35</v>
      </c>
      <c r="D35" s="8">
        <v>150000</v>
      </c>
      <c r="E35" s="15" t="str">
        <f t="shared" si="0"/>
        <v>Mar</v>
      </c>
      <c r="F35" s="11" t="str">
        <f t="shared" si="1"/>
        <v>Kebutuhan</v>
      </c>
    </row>
    <row r="36" spans="1:6" x14ac:dyDescent="0.25">
      <c r="A36" s="4">
        <v>45736</v>
      </c>
      <c r="B36" s="1" t="s">
        <v>6</v>
      </c>
      <c r="C36" s="1" t="s">
        <v>36</v>
      </c>
      <c r="D36" s="8">
        <v>45000</v>
      </c>
      <c r="E36" s="15" t="str">
        <f t="shared" si="0"/>
        <v>Mar</v>
      </c>
      <c r="F36" s="11" t="str">
        <f t="shared" si="1"/>
        <v>Keinginan</v>
      </c>
    </row>
    <row r="37" spans="1:6" x14ac:dyDescent="0.25">
      <c r="A37" s="4">
        <v>45739</v>
      </c>
      <c r="B37" s="1" t="s">
        <v>4</v>
      </c>
      <c r="C37" s="1" t="s">
        <v>37</v>
      </c>
      <c r="D37" s="8">
        <v>30000</v>
      </c>
      <c r="E37" s="15" t="str">
        <f t="shared" si="0"/>
        <v>Mar</v>
      </c>
      <c r="F37" s="11" t="str">
        <f t="shared" si="1"/>
        <v>Kebutuhan</v>
      </c>
    </row>
    <row r="38" spans="1:6" ht="15.75" thickBot="1" x14ac:dyDescent="0.3">
      <c r="A38" s="5">
        <v>45743</v>
      </c>
      <c r="B38" s="6" t="s">
        <v>8</v>
      </c>
      <c r="C38" s="6" t="s">
        <v>38</v>
      </c>
      <c r="D38" s="9">
        <v>250000</v>
      </c>
      <c r="E38" s="16" t="str">
        <f t="shared" si="0"/>
        <v>Mar</v>
      </c>
      <c r="F38" s="12" t="str">
        <f t="shared" si="1"/>
        <v>Keinginan</v>
      </c>
    </row>
  </sheetData>
  <dataValidations count="1">
    <dataValidation type="list" allowBlank="1" showInputMessage="1" showErrorMessage="1" sqref="B2:B38" xr:uid="{1D10068E-B7E6-40F1-9346-FFA08CDC71EE}">
      <formula1>$H$1:$H$5</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ONY</dc:creator>
  <cp:lastModifiedBy>ONY</cp:lastModifiedBy>
  <dcterms:created xsi:type="dcterms:W3CDTF">2026-06-22T14:22:45Z</dcterms:created>
  <dcterms:modified xsi:type="dcterms:W3CDTF">2026-06-22T14:52:32Z</dcterms:modified>
</cp:coreProperties>
</file>