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A88EFE98-22EF-4D10-9159-46BD15E979BD}" xr6:coauthVersionLast="47" xr6:coauthVersionMax="47" xr10:uidLastSave="{00000000-0000-0000-0000-000000000000}"/>
  <bookViews>
    <workbookView xWindow="-20610" yWindow="-120" windowWidth="20730" windowHeight="11040" xr2:uid="{4729ACB9-6913-4B27-981E-1379844B7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F10" i="1"/>
  <c r="F3" i="1"/>
  <c r="F4" i="1"/>
  <c r="F5" i="1"/>
  <c r="F6" i="1"/>
  <c r="F7" i="1"/>
  <c r="F8" i="1"/>
  <c r="F9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</calcChain>
</file>

<file path=xl/sharedStrings.xml><?xml version="1.0" encoding="utf-8"?>
<sst xmlns="http://schemas.openxmlformats.org/spreadsheetml/2006/main" count="41" uniqueCount="28">
  <si>
    <t>E</t>
  </si>
  <si>
    <t>D</t>
  </si>
  <si>
    <t>C</t>
  </si>
  <si>
    <t>B</t>
  </si>
  <si>
    <t>A</t>
  </si>
  <si>
    <t>No.</t>
  </si>
  <si>
    <t>Nama</t>
  </si>
  <si>
    <t>Nilai</t>
  </si>
  <si>
    <t>Predikat (HLOOKUP)</t>
  </si>
  <si>
    <t>Nilai Huruf (INDEX-MATCH)</t>
  </si>
  <si>
    <t>Status (XLOOKUP)</t>
  </si>
  <si>
    <t>Andi</t>
  </si>
  <si>
    <t>Budi </t>
  </si>
  <si>
    <t>Cici </t>
  </si>
  <si>
    <t>Dodi </t>
  </si>
  <si>
    <t>Eka </t>
  </si>
  <si>
    <t>Fani </t>
  </si>
  <si>
    <t>Gita </t>
  </si>
  <si>
    <t>Hadi </t>
  </si>
  <si>
    <t>Tidak Lulus</t>
  </si>
  <si>
    <t>Lulus</t>
  </si>
  <si>
    <t>Lulus Baik</t>
  </si>
  <si>
    <t>Lulus Memuaskan</t>
  </si>
  <si>
    <t>Lulus Terpuji</t>
  </si>
  <si>
    <t>Tabel Referensi XLOOKUP</t>
  </si>
  <si>
    <t>Tabel Referensi INDEX + MATCH</t>
  </si>
  <si>
    <t>Tabel Referensi HLOOKUP</t>
  </si>
  <si>
    <t>Tabel Data Nilai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</si>
</sst>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Segoe UI"/>
      <family val="2"/>
    </font>
    <font>
      <b/>
      <sz val="12"/>
      <color rgb="FF21252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/>
    <xf numFmtId="0" fontId="4" fillId="0" borderId="0" xfId="0" applyFont="1" applyBorder="1" applyAlignment="1"/>
    <xf numFmtId="0" fontId="0" fillId="0" borderId="0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C7C2-9388-436E-A6BF-AB9786C24BFE}">
  <dimension ref="A1:I25"/>
  <sheetViews>
    <sheetView tabSelected="1" workbookViewId="0">
      <selection activeCell="L11" sqref="L11"/>
    </sheetView>
  </sheetViews>
  <sheetFormatPr defaultRowHeight="15" x14ac:dyDescent="0.25"/>
  <cols>
    <col min="1" max="3" width="10.7109375" style="1" customWidth="1"/>
    <col min="4" max="5" width="12.85546875" style="1" customWidth="1"/>
    <col min="6" max="6" width="19.28515625" style="1" customWidth="1"/>
    <col min="7" max="7" width="9.140625" style="1"/>
    <col min="8" max="8" width="7.7109375" style="1" customWidth="1"/>
    <col min="9" max="9" width="20" style="1" customWidth="1"/>
    <col min="10" max="16384" width="9.140625" style="1"/>
  </cols>
  <sheetData>
    <row r="1" spans="1:9" ht="17.25" x14ac:dyDescent="0.25">
      <c r="A1" s="11" t="s">
        <v>27</v>
      </c>
      <c r="B1" s="11"/>
      <c r="C1" s="11"/>
      <c r="D1" s="11"/>
      <c r="E1" s="11"/>
      <c r="F1" s="11"/>
    </row>
    <row r="2" spans="1:9" ht="58.5" customHeight="1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9" x14ac:dyDescent="0.25">
      <c r="A3" s="2">
        <v>1</v>
      </c>
      <c r="B3" s="2" t="s">
        <v>11</v>
      </c>
      <c r="C3" s="2">
        <v>85</v>
      </c>
      <c r="D3" s="2" t="str">
        <f>HLOOKUP(C3,$A$13:$E$14,2,TRUE)</f>
        <v>B</v>
      </c>
      <c r="E3" s="2">
        <f>INDEX($B$18:$F$25, MATCH(B3,$A$18:$A$25,0), MATCH(D3,$B$17:$F$17,0))</f>
        <v>90</v>
      </c>
      <c r="F3" s="6" t="str">
        <f>_xlfn.XLOOKUP(C3,$H$13:$H$17,$I$13:$I$17,"Tidak Valid",-1)</f>
        <v>Lulus Memuaskan</v>
      </c>
    </row>
    <row r="4" spans="1:9" x14ac:dyDescent="0.25">
      <c r="A4" s="2">
        <v>2</v>
      </c>
      <c r="B4" s="2" t="s">
        <v>12</v>
      </c>
      <c r="C4" s="2">
        <v>92</v>
      </c>
      <c r="D4" s="2" t="str">
        <f>HLOOKUP(C4,$A$13:$E$14,2,TRUE)</f>
        <v>A</v>
      </c>
      <c r="E4" s="2">
        <f t="shared" ref="E4:E10" si="0">INDEX($B$18:$F$25, MATCH(B4,$A$18:$A$25,0), MATCH(D4,$B$17:$F$17,0))</f>
        <v>80</v>
      </c>
      <c r="F4" s="6" t="str">
        <f>_xlfn.XLOOKUP(C4,$H$13:$H$17,$I$13:$I$17,"Tidak Valid",-1)</f>
        <v>Lulus Memuaskan</v>
      </c>
    </row>
    <row r="5" spans="1:9" x14ac:dyDescent="0.25">
      <c r="A5" s="2">
        <v>3</v>
      </c>
      <c r="B5" s="2" t="s">
        <v>13</v>
      </c>
      <c r="C5" s="2">
        <v>67</v>
      </c>
      <c r="D5" s="2" t="str">
        <f>HLOOKUP(C5,$A$13:$E$14,2,TRUE)</f>
        <v>D</v>
      </c>
      <c r="E5" s="2">
        <f t="shared" si="0"/>
        <v>88</v>
      </c>
      <c r="F5" s="6" t="str">
        <f>_xlfn.XLOOKUP(C5,$H$13:$H$17,$I$13:$I$17,"Tidak Valid",-1)</f>
        <v>Lulus</v>
      </c>
    </row>
    <row r="6" spans="1:9" x14ac:dyDescent="0.25">
      <c r="A6" s="2">
        <v>4</v>
      </c>
      <c r="B6" s="2" t="s">
        <v>14</v>
      </c>
      <c r="C6" s="2">
        <v>45</v>
      </c>
      <c r="D6" s="2" t="str">
        <f>HLOOKUP(C6,$A$13:$E$14,2,TRUE)</f>
        <v>E</v>
      </c>
      <c r="E6" s="2">
        <f t="shared" si="0"/>
        <v>90</v>
      </c>
      <c r="F6" s="6" t="str">
        <f>_xlfn.XLOOKUP(C6,$H$13:$H$17,$I$13:$I$17,"Tidak Valid",-1)</f>
        <v>Tidak Lulus</v>
      </c>
    </row>
    <row r="7" spans="1:9" x14ac:dyDescent="0.25">
      <c r="A7" s="2">
        <v>5</v>
      </c>
      <c r="B7" s="2" t="s">
        <v>15</v>
      </c>
      <c r="C7" s="2">
        <v>78</v>
      </c>
      <c r="D7" s="2" t="str">
        <f>HLOOKUP(C7,$A$13:$E$14,2,TRUE)</f>
        <v>C</v>
      </c>
      <c r="E7" s="2">
        <f t="shared" si="0"/>
        <v>78</v>
      </c>
      <c r="F7" s="6" t="str">
        <f>_xlfn.XLOOKUP(C7,$H$13:$H$17,$I$13:$I$17,"Tidak Valid",-1)</f>
        <v>Lulus Baik</v>
      </c>
    </row>
    <row r="8" spans="1:9" x14ac:dyDescent="0.25">
      <c r="A8" s="2">
        <v>6</v>
      </c>
      <c r="B8" s="2" t="s">
        <v>16</v>
      </c>
      <c r="C8" s="2">
        <v>55</v>
      </c>
      <c r="D8" s="2" t="str">
        <f>HLOOKUP(C8,$A$13:$E$14,2,TRUE)</f>
        <v>E</v>
      </c>
      <c r="E8" s="2">
        <f t="shared" si="0"/>
        <v>90</v>
      </c>
      <c r="F8" s="6" t="str">
        <f>_xlfn.XLOOKUP(C8,$H$13:$H$17,$I$13:$I$17,"Tidak Valid",-1)</f>
        <v>Tidak Lulus</v>
      </c>
    </row>
    <row r="9" spans="1:9" x14ac:dyDescent="0.25">
      <c r="A9" s="2">
        <v>7</v>
      </c>
      <c r="B9" s="2" t="s">
        <v>17</v>
      </c>
      <c r="C9" s="2">
        <v>73</v>
      </c>
      <c r="D9" s="2" t="str">
        <f>HLOOKUP(C9,$A$13:$E$14,2,TRUE)</f>
        <v>C</v>
      </c>
      <c r="E9" s="2">
        <f t="shared" si="0"/>
        <v>80</v>
      </c>
      <c r="F9" s="6" t="str">
        <f>_xlfn.XLOOKUP(C9,$H$13:$H$17,$I$13:$I$17,"Tidak Valid",-1)</f>
        <v>Lulus</v>
      </c>
    </row>
    <row r="10" spans="1:9" x14ac:dyDescent="0.25">
      <c r="A10" s="2">
        <v>8</v>
      </c>
      <c r="B10" s="2" t="s">
        <v>18</v>
      </c>
      <c r="C10" s="2">
        <v>88</v>
      </c>
      <c r="D10" s="2" t="str">
        <f>HLOOKUP(C10,$A$13:$E$14,2,TRUE)</f>
        <v>B</v>
      </c>
      <c r="E10" s="2">
        <f t="shared" si="0"/>
        <v>80</v>
      </c>
      <c r="F10" s="6" t="str">
        <f>_xlfn.XLOOKUP(C10,$H$13:$H$17,$I$13:$I$17,"Tidak Valid",-1)</f>
        <v>Lulus Memuaskan</v>
      </c>
    </row>
    <row r="12" spans="1:9" ht="16.5" x14ac:dyDescent="0.3">
      <c r="A12" s="8" t="s">
        <v>26</v>
      </c>
      <c r="B12" s="8"/>
      <c r="C12" s="8"/>
      <c r="D12" s="8"/>
      <c r="E12" s="8"/>
      <c r="F12" s="9"/>
      <c r="H12" s="12" t="s">
        <v>24</v>
      </c>
      <c r="I12" s="12"/>
    </row>
    <row r="13" spans="1:9" x14ac:dyDescent="0.25">
      <c r="A13" s="2">
        <v>0</v>
      </c>
      <c r="B13" s="2">
        <v>60</v>
      </c>
      <c r="C13" s="2">
        <v>70</v>
      </c>
      <c r="D13" s="2">
        <v>80</v>
      </c>
      <c r="E13" s="2">
        <v>90</v>
      </c>
      <c r="H13" s="2">
        <v>0</v>
      </c>
      <c r="I13" s="6" t="s">
        <v>19</v>
      </c>
    </row>
    <row r="14" spans="1:9" x14ac:dyDescent="0.25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H14" s="2">
        <v>60</v>
      </c>
      <c r="I14" s="6" t="s">
        <v>20</v>
      </c>
    </row>
    <row r="15" spans="1:9" x14ac:dyDescent="0.25">
      <c r="A15" s="10"/>
      <c r="B15" s="10"/>
      <c r="C15" s="10"/>
      <c r="D15" s="10"/>
      <c r="E15" s="10"/>
      <c r="H15" s="2">
        <v>75</v>
      </c>
      <c r="I15" s="6" t="s">
        <v>21</v>
      </c>
    </row>
    <row r="16" spans="1:9" ht="16.5" x14ac:dyDescent="0.3">
      <c r="A16" s="7" t="s">
        <v>25</v>
      </c>
      <c r="B16" s="7"/>
      <c r="C16" s="7"/>
      <c r="D16" s="7"/>
      <c r="E16" s="7"/>
      <c r="F16" s="7"/>
      <c r="H16" s="2">
        <v>85</v>
      </c>
      <c r="I16" s="6" t="s">
        <v>22</v>
      </c>
    </row>
    <row r="17" spans="1:9" x14ac:dyDescent="0.25">
      <c r="A17" s="2"/>
      <c r="B17" s="3" t="s">
        <v>4</v>
      </c>
      <c r="C17" s="3" t="s">
        <v>3</v>
      </c>
      <c r="D17" s="3" t="s">
        <v>2</v>
      </c>
      <c r="E17" s="3" t="s">
        <v>1</v>
      </c>
      <c r="F17" s="3" t="s">
        <v>0</v>
      </c>
      <c r="H17" s="2">
        <v>95</v>
      </c>
      <c r="I17" s="6" t="s">
        <v>23</v>
      </c>
    </row>
    <row r="18" spans="1:9" x14ac:dyDescent="0.25">
      <c r="A18" s="4" t="s">
        <v>11</v>
      </c>
      <c r="B18" s="2">
        <v>85</v>
      </c>
      <c r="C18" s="2">
        <v>90</v>
      </c>
      <c r="D18" s="2">
        <v>78</v>
      </c>
      <c r="E18" s="2">
        <v>92</v>
      </c>
      <c r="F18" s="2">
        <v>92</v>
      </c>
    </row>
    <row r="19" spans="1:9" x14ac:dyDescent="0.25">
      <c r="A19" s="4" t="s">
        <v>12</v>
      </c>
      <c r="B19" s="2">
        <v>80</v>
      </c>
      <c r="C19" s="2">
        <v>88</v>
      </c>
      <c r="D19" s="2">
        <v>75</v>
      </c>
      <c r="E19" s="2">
        <v>85</v>
      </c>
      <c r="F19" s="2">
        <v>85</v>
      </c>
    </row>
    <row r="20" spans="1:9" x14ac:dyDescent="0.25">
      <c r="A20" s="4" t="s">
        <v>13</v>
      </c>
      <c r="B20" s="2">
        <v>90</v>
      </c>
      <c r="C20" s="2">
        <v>85</v>
      </c>
      <c r="D20" s="2">
        <v>80</v>
      </c>
      <c r="E20" s="2">
        <v>88</v>
      </c>
      <c r="F20" s="2">
        <v>88</v>
      </c>
    </row>
    <row r="21" spans="1:9" x14ac:dyDescent="0.25">
      <c r="A21" s="4" t="s">
        <v>14</v>
      </c>
      <c r="B21" s="2">
        <v>75</v>
      </c>
      <c r="C21" s="2">
        <v>80</v>
      </c>
      <c r="D21" s="2">
        <v>85</v>
      </c>
      <c r="E21" s="2">
        <v>90</v>
      </c>
      <c r="F21" s="2">
        <v>90</v>
      </c>
    </row>
    <row r="22" spans="1:9" x14ac:dyDescent="0.25">
      <c r="A22" s="4" t="s">
        <v>15</v>
      </c>
      <c r="B22" s="2">
        <v>78</v>
      </c>
      <c r="C22" s="2">
        <v>90</v>
      </c>
      <c r="D22" s="2">
        <v>78</v>
      </c>
      <c r="E22" s="2">
        <v>92</v>
      </c>
      <c r="F22" s="2">
        <v>80</v>
      </c>
    </row>
    <row r="23" spans="1:9" x14ac:dyDescent="0.25">
      <c r="A23" s="4" t="s">
        <v>16</v>
      </c>
      <c r="B23" s="2">
        <v>55</v>
      </c>
      <c r="C23" s="2">
        <v>88</v>
      </c>
      <c r="D23" s="2">
        <v>75</v>
      </c>
      <c r="E23" s="2">
        <v>85</v>
      </c>
      <c r="F23" s="2">
        <v>90</v>
      </c>
    </row>
    <row r="24" spans="1:9" x14ac:dyDescent="0.25">
      <c r="A24" s="4" t="s">
        <v>17</v>
      </c>
      <c r="B24" s="2">
        <v>73</v>
      </c>
      <c r="C24" s="2">
        <v>85</v>
      </c>
      <c r="D24" s="2">
        <v>80</v>
      </c>
      <c r="E24" s="2">
        <v>88</v>
      </c>
      <c r="F24" s="2">
        <v>75</v>
      </c>
    </row>
    <row r="25" spans="1:9" x14ac:dyDescent="0.25">
      <c r="A25" s="4" t="s">
        <v>18</v>
      </c>
      <c r="B25" s="2">
        <v>88</v>
      </c>
      <c r="C25" s="2">
        <v>80</v>
      </c>
      <c r="D25" s="2">
        <v>85</v>
      </c>
      <c r="E25" s="2">
        <v>90</v>
      </c>
      <c r="F25" s="2">
        <v>78</v>
      </c>
    </row>
  </sheetData>
  <mergeCells count="3">
    <mergeCell ref="H12:I12"/>
    <mergeCell ref="A16:F16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2026-06-20T04:24:45Z</dcterms:created>
  <dcterms:modified xsi:type="dcterms:W3CDTF">2026-06-20T05:53:40Z</dcterms:modified>
</cp:coreProperties>
</file>