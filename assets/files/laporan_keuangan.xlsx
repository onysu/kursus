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292B632A-A2F9-4637-A2D0-5B7FF4E9D3C9}" xr6:coauthVersionLast="47" xr6:coauthVersionMax="47" xr10:uidLastSave="{00000000-0000-0000-0000-000000000000}"/>
  <bookViews>
    <workbookView xWindow="-20610" yWindow="-120" windowWidth="20730" windowHeight="11040" xr2:uid="{00364E14-FD65-4296-A82E-21809418BD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F6" i="1"/>
  <c r="C18" i="1"/>
  <c r="C17" i="1"/>
  <c r="C16" i="1"/>
  <c r="C14" i="1"/>
  <c r="B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ONY</author>
  </authors>
  <commentList>
    <comment ref="A16" authorId="0" shapeId="0" xr:uid="{149C3CA1-BBED-484A-8E6F-535CA5908C58}">
      <text>
        <r>
          <rPr>
            <b/>
            <sz val="9"/>
            <color indexed="81"/>
            <rFont val="Tahoma"/>
            <family val="2"/>
          </rPr>
          <t>ONY:</t>
        </r>
        <r>
          <rPr>
            <sz val="9"/>
            <color indexed="81"/>
            <rFont val="Tahoma"/>
            <family val="2"/>
          </rPr>
          <t xml:space="preserve">
Dibulatkan ke ribuan terdekat.</t>
        </r>
      </text>
    </comment>
  </commentList>
</comments>
</file>

<file path=xl/sharedStrings.xml><?xml version="1.0" encoding="utf-8"?>
<sst xmlns="http://schemas.openxmlformats.org/spreadsheetml/2006/main" count="25" uniqueCount="18">
  <si>
    <t>Tanggal Laporan</t>
  </si>
  <si>
    <t>Tanggal</t>
  </si>
  <si>
    <t>Kategori</t>
  </si>
  <si>
    <t>Nominal</t>
  </si>
  <si>
    <t>Makan</t>
  </si>
  <si>
    <t>Transport</t>
  </si>
  <si>
    <t>Belanja</t>
  </si>
  <si>
    <t>Tagihan</t>
  </si>
  <si>
    <t>Hiburan</t>
  </si>
  <si>
    <t>Data Pengeluaran</t>
  </si>
  <si>
    <t>Total Pengeluaran</t>
  </si>
  <si>
    <t>Pembulatan</t>
  </si>
  <si>
    <t>Pengeluaran Kategori Tertentu</t>
  </si>
  <si>
    <t>Kategori Transport</t>
  </si>
  <si>
    <t>Keterangan</t>
  </si>
  <si>
    <t>Pendapatan</t>
  </si>
  <si>
    <t>Pengeluaran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</si>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</sst>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_-&quot;Rp&quot;* #,##0_-;\-&quot;Rp&quot;* #,##0_-;_-&quot;Rp&quot;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horizontal="right" vertical="center" wrapText="1"/>
    </xf>
    <xf numFmtId="0" fontId="1" fillId="0" borderId="0" xfId="0" applyFont="1"/>
    <xf numFmtId="170" fontId="1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B736-8389-4F46-9CAF-74A505806D0E}">
  <dimension ref="A1:F18"/>
  <sheetViews>
    <sheetView tabSelected="1" workbookViewId="0">
      <selection activeCell="G13" sqref="G13"/>
    </sheetView>
  </sheetViews>
  <sheetFormatPr defaultRowHeight="15" x14ac:dyDescent="0.25"/>
  <cols>
    <col min="1" max="1" width="16.28515625" customWidth="1"/>
    <col min="2" max="2" width="12.7109375" customWidth="1"/>
    <col min="3" max="3" width="13" customWidth="1"/>
    <col min="5" max="5" width="14.42578125" customWidth="1"/>
    <col min="6" max="6" width="15.42578125" customWidth="1"/>
  </cols>
  <sheetData>
    <row r="1" spans="1:6" x14ac:dyDescent="0.25">
      <c r="A1" t="s">
        <v>0</v>
      </c>
      <c r="B1" s="1">
        <f ca="1">TODAY()</f>
        <v>46190</v>
      </c>
    </row>
    <row r="2" spans="1:6" x14ac:dyDescent="0.25">
      <c r="A2" s="6" t="s">
        <v>9</v>
      </c>
    </row>
    <row r="3" spans="1:6" x14ac:dyDescent="0.25">
      <c r="A3" s="2" t="s">
        <v>1</v>
      </c>
      <c r="B3" s="2" t="s">
        <v>2</v>
      </c>
      <c r="C3" s="2" t="s">
        <v>3</v>
      </c>
      <c r="E3" s="6" t="s">
        <v>17</v>
      </c>
    </row>
    <row r="4" spans="1:6" x14ac:dyDescent="0.25">
      <c r="A4" s="4">
        <v>46174</v>
      </c>
      <c r="B4" s="3" t="s">
        <v>4</v>
      </c>
      <c r="C4" s="5">
        <v>35000</v>
      </c>
      <c r="E4" s="2" t="s">
        <v>14</v>
      </c>
      <c r="F4" s="2" t="s">
        <v>3</v>
      </c>
    </row>
    <row r="5" spans="1:6" x14ac:dyDescent="0.25">
      <c r="A5" s="4">
        <v>46175</v>
      </c>
      <c r="B5" s="3" t="s">
        <v>5</v>
      </c>
      <c r="C5" s="5">
        <v>25000</v>
      </c>
      <c r="E5" s="3" t="s">
        <v>15</v>
      </c>
      <c r="F5" s="5">
        <v>3000000</v>
      </c>
    </row>
    <row r="6" spans="1:6" x14ac:dyDescent="0.25">
      <c r="A6" s="4">
        <v>46176</v>
      </c>
      <c r="B6" s="3" t="s">
        <v>4</v>
      </c>
      <c r="C6" s="5">
        <v>42000</v>
      </c>
      <c r="E6" s="3" t="s">
        <v>16</v>
      </c>
      <c r="F6" s="5">
        <f>C14</f>
        <v>845000</v>
      </c>
    </row>
    <row r="7" spans="1:6" x14ac:dyDescent="0.25">
      <c r="A7" s="4">
        <v>46178</v>
      </c>
      <c r="B7" s="3" t="s">
        <v>6</v>
      </c>
      <c r="C7" s="5">
        <v>175000</v>
      </c>
      <c r="E7" s="3" t="s">
        <v>17</v>
      </c>
      <c r="F7" s="5">
        <f>F5-F6</f>
        <v>2155000</v>
      </c>
    </row>
    <row r="8" spans="1:6" x14ac:dyDescent="0.25">
      <c r="A8" s="4">
        <v>46181</v>
      </c>
      <c r="B8" s="3" t="s">
        <v>4</v>
      </c>
      <c r="C8" s="5">
        <v>38000</v>
      </c>
    </row>
    <row r="9" spans="1:6" x14ac:dyDescent="0.25">
      <c r="A9" s="4">
        <v>46183</v>
      </c>
      <c r="B9" s="3" t="s">
        <v>5</v>
      </c>
      <c r="C9" s="5">
        <v>30000</v>
      </c>
    </row>
    <row r="10" spans="1:6" x14ac:dyDescent="0.25">
      <c r="A10" s="4">
        <v>46188</v>
      </c>
      <c r="B10" s="3" t="s">
        <v>7</v>
      </c>
      <c r="C10" s="5">
        <v>250000</v>
      </c>
    </row>
    <row r="11" spans="1:6" x14ac:dyDescent="0.25">
      <c r="A11" s="4">
        <v>46191</v>
      </c>
      <c r="B11" s="3" t="s">
        <v>4</v>
      </c>
      <c r="C11" s="5">
        <v>45000</v>
      </c>
    </row>
    <row r="12" spans="1:6" x14ac:dyDescent="0.25">
      <c r="A12" s="4">
        <v>46195</v>
      </c>
      <c r="B12" s="3" t="s">
        <v>6</v>
      </c>
      <c r="C12" s="5">
        <v>120000</v>
      </c>
    </row>
    <row r="13" spans="1:6" x14ac:dyDescent="0.25">
      <c r="A13" s="4">
        <v>46201</v>
      </c>
      <c r="B13" s="3" t="s">
        <v>8</v>
      </c>
      <c r="C13" s="5">
        <v>85000</v>
      </c>
    </row>
    <row r="14" spans="1:6" x14ac:dyDescent="0.25">
      <c r="A14" s="6" t="s">
        <v>10</v>
      </c>
      <c r="C14" s="7">
        <f>SUM(C4:C13)</f>
        <v>845000</v>
      </c>
    </row>
    <row r="16" spans="1:6" x14ac:dyDescent="0.25">
      <c r="A16" s="6" t="s">
        <v>11</v>
      </c>
      <c r="C16" s="7">
        <f>ROUND(C14,-3)</f>
        <v>845000</v>
      </c>
    </row>
    <row r="17" spans="1:3" x14ac:dyDescent="0.25">
      <c r="A17" s="6" t="s">
        <v>12</v>
      </c>
      <c r="C17" s="6">
        <f>COUNTIF(B4:B13,"Makan")</f>
        <v>4</v>
      </c>
    </row>
    <row r="18" spans="1:3" x14ac:dyDescent="0.25">
      <c r="A18" s="6" t="s">
        <v>13</v>
      </c>
      <c r="C18" s="6">
        <f>COUNTIF(B4:B13,"Transport")</f>
        <v>2</v>
      </c>
    </row>
  </sheetData>
  <conditionalFormatting sqref="F7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2026-06-17T15:50:07Z</dcterms:created>
  <dcterms:modified xsi:type="dcterms:W3CDTF">2026-06-17T16:01:55Z</dcterms:modified>
</cp:coreProperties>
</file>