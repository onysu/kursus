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aragon\www\kursus\assets\files\"/>
    </mc:Choice>
  </mc:AlternateContent>
  <xr:revisionPtr revIDLastSave="0" documentId="8_{863A6AEA-B8BB-4158-B137-5BFE225AAD1A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Laporan Keuangan" sheetId="1" r:id="rId1"/>
  </sheets>
  <calcPr calcId="191029"/>
</workbook>
</file>

<file path=xl/calcChain.xml><?xml version="1.0" encoding="utf-8"?>
<calcChain xmlns="http://schemas.openxmlformats.org/spreadsheetml/2006/main">
  <c r="F9" i="1" l="1"/>
  <c r="F6" i="1"/>
  <c r="F4" i="1"/>
  <c r="F1" i="1"/>
  <c r="F5" i="1" l="1"/>
</calcChain>
</file>

<file path=xl/sharedStrings.xml><?xml version="1.0" encoding="utf-8"?>
<sst xmlns="http://schemas.openxmlformats.org/spreadsheetml/2006/main" count="30" uniqueCount="25">
  <si>
    <t>Laporan Keuangan Pribadi 1 Bulan</t>
  </si>
  <si>
    <t>Tanggal Laporan</t>
  </si>
  <si>
    <t>Tanggal</t>
  </si>
  <si>
    <t>Kategori</t>
  </si>
  <si>
    <t>Nominal</t>
  </si>
  <si>
    <t>01/06/2026</t>
  </si>
  <si>
    <t>Makan</t>
  </si>
  <si>
    <t>Total Pengeluaran</t>
  </si>
  <si>
    <t>02/06/2026</t>
  </si>
  <si>
    <t>Transport</t>
  </si>
  <si>
    <t>Total Dibulatkan</t>
  </si>
  <si>
    <t>03/06/2026</t>
  </si>
  <si>
    <t>Jumlah Transaksi Makan</t>
  </si>
  <si>
    <t>05/06/2026</t>
  </si>
  <si>
    <t>Belanja</t>
  </si>
  <si>
    <t>08/06/2026</t>
  </si>
  <si>
    <t>Pendapatan</t>
  </si>
  <si>
    <t>10/06/2026</t>
  </si>
  <si>
    <t>Saldo</t>
  </si>
  <si>
    <t>15/06/2026</t>
  </si>
  <si>
    <t>Tagihan</t>
  </si>
  <si>
    <t>18/06/2026</t>
  </si>
  <si>
    <t>22/06/2026</t>
  </si>
  <si>
    <t>28/06/2026</t>
  </si>
  <si>
    <t>Hiburan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</si>
</sst>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. &quot;\ #,##0"/>
    <numFmt numFmtId="167" formatCode="_-&quot;Rp&quot;* #,##0_-;\-&quot;Rp&quot;* #,##0_-;_-&quot;Rp&quot;* &quot;-&quot;??_-;_-@_-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H17" sqref="H17"/>
    </sheetView>
  </sheetViews>
  <sheetFormatPr defaultRowHeight="15" x14ac:dyDescent="0.25"/>
  <cols>
    <col min="1" max="1" width="13.140625" customWidth="1"/>
    <col min="2" max="2" width="11.5703125" customWidth="1"/>
    <col min="3" max="3" width="12.7109375" customWidth="1"/>
    <col min="5" max="5" width="22.5703125" bestFit="1" customWidth="1"/>
    <col min="6" max="6" width="12" bestFit="1" customWidth="1"/>
  </cols>
  <sheetData>
    <row r="1" spans="1:6" ht="18.75" x14ac:dyDescent="0.3">
      <c r="A1" s="1" t="s">
        <v>0</v>
      </c>
      <c r="E1" t="s">
        <v>1</v>
      </c>
      <c r="F1">
        <f ca="1">TODAY()</f>
        <v>46190</v>
      </c>
    </row>
    <row r="3" spans="1:6" x14ac:dyDescent="0.25">
      <c r="A3" s="2" t="s">
        <v>2</v>
      </c>
      <c r="B3" s="2" t="s">
        <v>3</v>
      </c>
      <c r="C3" s="2" t="s">
        <v>4</v>
      </c>
    </row>
    <row r="4" spans="1:6" x14ac:dyDescent="0.25">
      <c r="A4" t="s">
        <v>5</v>
      </c>
      <c r="B4" t="s">
        <v>6</v>
      </c>
      <c r="C4" s="4">
        <v>35000</v>
      </c>
      <c r="E4" t="s">
        <v>7</v>
      </c>
      <c r="F4" s="3">
        <f>SUM(C4:C13)</f>
        <v>845000</v>
      </c>
    </row>
    <row r="5" spans="1:6" x14ac:dyDescent="0.25">
      <c r="A5" t="s">
        <v>8</v>
      </c>
      <c r="B5" t="s">
        <v>9</v>
      </c>
      <c r="C5" s="4">
        <v>25000</v>
      </c>
      <c r="E5" t="s">
        <v>10</v>
      </c>
      <c r="F5" s="3">
        <f>ROUND(F4,-3)</f>
        <v>845000</v>
      </c>
    </row>
    <row r="6" spans="1:6" x14ac:dyDescent="0.25">
      <c r="A6" t="s">
        <v>11</v>
      </c>
      <c r="B6" t="s">
        <v>6</v>
      </c>
      <c r="C6" s="4">
        <v>42000</v>
      </c>
      <c r="E6" t="s">
        <v>12</v>
      </c>
      <c r="F6">
        <f>COUNTIF(B4:B13,"Makan")</f>
        <v>4</v>
      </c>
    </row>
    <row r="7" spans="1:6" x14ac:dyDescent="0.25">
      <c r="A7" t="s">
        <v>13</v>
      </c>
      <c r="B7" t="s">
        <v>14</v>
      </c>
      <c r="C7" s="4">
        <v>175000</v>
      </c>
    </row>
    <row r="8" spans="1:6" x14ac:dyDescent="0.25">
      <c r="A8" t="s">
        <v>15</v>
      </c>
      <c r="B8" t="s">
        <v>6</v>
      </c>
      <c r="C8" s="4">
        <v>38000</v>
      </c>
      <c r="E8" t="s">
        <v>16</v>
      </c>
      <c r="F8" s="3">
        <v>500000</v>
      </c>
    </row>
    <row r="9" spans="1:6" x14ac:dyDescent="0.25">
      <c r="A9" t="s">
        <v>17</v>
      </c>
      <c r="B9" t="s">
        <v>9</v>
      </c>
      <c r="C9" s="4">
        <v>30000</v>
      </c>
      <c r="E9" t="s">
        <v>18</v>
      </c>
      <c r="F9" s="3">
        <f>F8-F4</f>
        <v>-345000</v>
      </c>
    </row>
    <row r="10" spans="1:6" x14ac:dyDescent="0.25">
      <c r="A10" t="s">
        <v>19</v>
      </c>
      <c r="B10" t="s">
        <v>20</v>
      </c>
      <c r="C10" s="4">
        <v>250000</v>
      </c>
    </row>
    <row r="11" spans="1:6" x14ac:dyDescent="0.25">
      <c r="A11" t="s">
        <v>21</v>
      </c>
      <c r="B11" t="s">
        <v>6</v>
      </c>
      <c r="C11" s="4">
        <v>45000</v>
      </c>
    </row>
    <row r="12" spans="1:6" x14ac:dyDescent="0.25">
      <c r="A12" t="s">
        <v>22</v>
      </c>
      <c r="B12" t="s">
        <v>14</v>
      </c>
      <c r="C12" s="4">
        <v>120000</v>
      </c>
    </row>
    <row r="13" spans="1:6" x14ac:dyDescent="0.25">
      <c r="A13" t="s">
        <v>23</v>
      </c>
      <c r="B13" t="s">
        <v>24</v>
      </c>
      <c r="C13" s="4">
        <v>85000</v>
      </c>
    </row>
  </sheetData>
  <conditionalFormatting sqref="F9">
    <cfRule type="cellIs" priority="2" stopIfTrue="1" operator="lessThan">
      <formula>0</formula>
    </cfRule>
    <cfRule type="cellIs" dxfId="0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Keuangan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ONY</cp:lastModifiedBy>
  <dcterms:created xsi:type="dcterms:W3CDTF">2026-06-17T07:29:25Z</dcterms:created>
  <dcterms:modified xsi:type="dcterms:W3CDTF">2026-06-17T07:31:30Z</dcterms:modified>
</cp:coreProperties>
</file>