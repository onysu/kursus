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496A4EDE-DDA7-4CBB-9318-2203AEB783EC}" xr6:coauthVersionLast="47" xr6:coauthVersionMax="47" xr10:uidLastSave="{00000000-0000-0000-0000-000000000000}"/>
  <bookViews>
    <workbookView xWindow="-20610" yWindow="-120" windowWidth="20730" windowHeight="11040" xr2:uid="{E37C903E-9C6B-470E-B6C6-238D4DBCD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30" i="1"/>
  <c r="D31" i="1"/>
  <c r="D32" i="1"/>
  <c r="D33" i="1"/>
  <c r="D34" i="1"/>
  <c r="D35" i="1"/>
  <c r="D28" i="1"/>
  <c r="D16" i="1"/>
  <c r="D17" i="1"/>
  <c r="D18" i="1"/>
  <c r="D19" i="1"/>
  <c r="D20" i="1"/>
  <c r="D21" i="1"/>
  <c r="D22" i="1"/>
  <c r="D23" i="1"/>
  <c r="D4" i="1"/>
  <c r="D10" i="1"/>
  <c r="D5" i="1"/>
  <c r="D6" i="1"/>
  <c r="D7" i="1"/>
  <c r="D8" i="1"/>
  <c r="D9" i="1"/>
  <c r="D11" i="1"/>
</calcChain>
</file>

<file path=xl/sharedStrings.xml><?xml version="1.0" encoding="utf-8"?>
<sst xmlns="http://schemas.openxmlformats.org/spreadsheetml/2006/main" count="114" uniqueCount="34">
  <si>
    <t>Kode Golongan</t>
  </si>
  <si>
    <t>Gaji Pokok</t>
  </si>
  <si>
    <t>I</t>
  </si>
  <si>
    <t>II</t>
  </si>
  <si>
    <t>III</t>
  </si>
  <si>
    <t>IV</t>
  </si>
  <si>
    <t>V</t>
  </si>
  <si>
    <t>Kode</t>
  </si>
  <si>
    <t>Nama</t>
  </si>
  <si>
    <t>Golongan</t>
  </si>
  <si>
    <t>Andi</t>
  </si>
  <si>
    <t>Budi</t>
  </si>
  <si>
    <t>Cici</t>
  </si>
  <si>
    <t>Dodi</t>
  </si>
  <si>
    <t>Eka</t>
  </si>
  <si>
    <t>Fani</t>
  </si>
  <si>
    <t>Gita</t>
  </si>
  <si>
    <t>Hadi</t>
  </si>
  <si>
    <t>K001</t>
  </si>
  <si>
    <t>K002</t>
  </si>
  <si>
    <t>K003</t>
  </si>
  <si>
    <t>K004</t>
  </si>
  <si>
    <t>K005</t>
  </si>
  <si>
    <t>K006</t>
  </si>
  <si>
    <t>K007</t>
  </si>
  <si>
    <t>K008</t>
  </si>
  <si>
    <t>ll</t>
  </si>
  <si>
    <t>VI</t>
  </si>
  <si>
    <t>TABLE REFERENSI GAJI</t>
  </si>
  <si>
    <t>TABEL DATA KARYAWAN</t>
  </si>
  <si>
    <t>lll</t>
  </si>
  <si>
    <t>Penggunaan IFERROR</t>
  </si>
  <si>
    <t>Penggunaan VLOOKUP </t>
  </si>
  <si>
    <t>Menampilkan ERROR typo dan Golongan tidak ditemukan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</si>
</sst>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212529"/>
      <name val="Segoe U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4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/>
    </xf>
    <xf numFmtId="164" fontId="6" fillId="0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C380-6B50-4244-970D-8E7507EADD25}">
  <dimension ref="A1:G35"/>
  <sheetViews>
    <sheetView tabSelected="1" topLeftCell="A15" workbookViewId="0">
      <selection activeCell="J31" sqref="J31"/>
    </sheetView>
  </sheetViews>
  <sheetFormatPr defaultRowHeight="15" x14ac:dyDescent="0.25"/>
  <cols>
    <col min="1" max="1" width="7.28515625" style="1" customWidth="1"/>
    <col min="2" max="2" width="16.28515625" style="1" customWidth="1"/>
    <col min="3" max="3" width="11.140625" style="1" customWidth="1"/>
    <col min="4" max="4" width="29.28515625" style="1" bestFit="1" customWidth="1"/>
    <col min="5" max="5" width="9.140625" style="1"/>
    <col min="6" max="7" width="17.28515625" style="1" customWidth="1"/>
    <col min="8" max="8" width="9.140625" style="1"/>
    <col min="9" max="9" width="14.5703125" style="1" bestFit="1" customWidth="1"/>
    <col min="10" max="10" width="16.5703125" style="1" bestFit="1" customWidth="1"/>
    <col min="11" max="16384" width="9.140625" style="1"/>
  </cols>
  <sheetData>
    <row r="1" spans="1:7" ht="17.25" thickBot="1" x14ac:dyDescent="0.35">
      <c r="A1" s="10" t="s">
        <v>32</v>
      </c>
    </row>
    <row r="2" spans="1:7" x14ac:dyDescent="0.25">
      <c r="A2" s="14" t="s">
        <v>29</v>
      </c>
      <c r="B2" s="15"/>
      <c r="C2" s="15"/>
      <c r="D2" s="16"/>
      <c r="F2" s="14" t="s">
        <v>28</v>
      </c>
      <c r="G2" s="16"/>
    </row>
    <row r="3" spans="1:7" x14ac:dyDescent="0.25">
      <c r="A3" s="17" t="s">
        <v>7</v>
      </c>
      <c r="B3" s="18" t="s">
        <v>8</v>
      </c>
      <c r="C3" s="18" t="s">
        <v>9</v>
      </c>
      <c r="D3" s="19" t="s">
        <v>1</v>
      </c>
      <c r="F3" s="17" t="s">
        <v>0</v>
      </c>
      <c r="G3" s="19" t="s">
        <v>1</v>
      </c>
    </row>
    <row r="4" spans="1:7" x14ac:dyDescent="0.25">
      <c r="A4" s="4" t="s">
        <v>18</v>
      </c>
      <c r="B4" s="3" t="s">
        <v>10</v>
      </c>
      <c r="C4" s="2" t="s">
        <v>4</v>
      </c>
      <c r="D4" s="5">
        <f t="shared" ref="D4:D11" si="0">VLOOKUP(C4,$F$4:$G$8,2,)</f>
        <v>9000000</v>
      </c>
      <c r="F4" s="4" t="s">
        <v>2</v>
      </c>
      <c r="G4" s="5">
        <v>5000000</v>
      </c>
    </row>
    <row r="5" spans="1:7" x14ac:dyDescent="0.25">
      <c r="A5" s="4" t="s">
        <v>19</v>
      </c>
      <c r="B5" s="3" t="s">
        <v>11</v>
      </c>
      <c r="C5" s="2" t="s">
        <v>3</v>
      </c>
      <c r="D5" s="5">
        <f t="shared" si="0"/>
        <v>7000000</v>
      </c>
      <c r="F5" s="4" t="s">
        <v>3</v>
      </c>
      <c r="G5" s="5">
        <v>7000000</v>
      </c>
    </row>
    <row r="6" spans="1:7" x14ac:dyDescent="0.25">
      <c r="A6" s="4" t="s">
        <v>20</v>
      </c>
      <c r="B6" s="3" t="s">
        <v>12</v>
      </c>
      <c r="C6" s="2" t="s">
        <v>6</v>
      </c>
      <c r="D6" s="5">
        <f t="shared" si="0"/>
        <v>15000000</v>
      </c>
      <c r="F6" s="4" t="s">
        <v>4</v>
      </c>
      <c r="G6" s="5">
        <v>9000000</v>
      </c>
    </row>
    <row r="7" spans="1:7" x14ac:dyDescent="0.25">
      <c r="A7" s="4" t="s">
        <v>21</v>
      </c>
      <c r="B7" s="3" t="s">
        <v>13</v>
      </c>
      <c r="C7" s="2" t="s">
        <v>2</v>
      </c>
      <c r="D7" s="5">
        <f t="shared" si="0"/>
        <v>5000000</v>
      </c>
      <c r="F7" s="4" t="s">
        <v>5</v>
      </c>
      <c r="G7" s="5">
        <v>12000000</v>
      </c>
    </row>
    <row r="8" spans="1:7" ht="15.75" thickBot="1" x14ac:dyDescent="0.3">
      <c r="A8" s="4" t="s">
        <v>22</v>
      </c>
      <c r="B8" s="3" t="s">
        <v>14</v>
      </c>
      <c r="C8" s="2" t="s">
        <v>5</v>
      </c>
      <c r="D8" s="5">
        <f t="shared" si="0"/>
        <v>12000000</v>
      </c>
      <c r="F8" s="6" t="s">
        <v>6</v>
      </c>
      <c r="G8" s="9">
        <v>15000000</v>
      </c>
    </row>
    <row r="9" spans="1:7" x14ac:dyDescent="0.25">
      <c r="A9" s="4" t="s">
        <v>23</v>
      </c>
      <c r="B9" s="3" t="s">
        <v>15</v>
      </c>
      <c r="C9" s="2" t="s">
        <v>4</v>
      </c>
      <c r="D9" s="5">
        <f t="shared" si="0"/>
        <v>9000000</v>
      </c>
    </row>
    <row r="10" spans="1:7" x14ac:dyDescent="0.25">
      <c r="A10" s="4" t="s">
        <v>24</v>
      </c>
      <c r="B10" s="3" t="s">
        <v>16</v>
      </c>
      <c r="C10" s="2" t="s">
        <v>26</v>
      </c>
      <c r="D10" s="5" t="e">
        <f t="shared" si="0"/>
        <v>#N/A</v>
      </c>
    </row>
    <row r="11" spans="1:7" ht="15.75" thickBot="1" x14ac:dyDescent="0.3">
      <c r="A11" s="6" t="s">
        <v>25</v>
      </c>
      <c r="B11" s="7" t="s">
        <v>17</v>
      </c>
      <c r="C11" s="8" t="s">
        <v>27</v>
      </c>
      <c r="D11" s="9" t="e">
        <f t="shared" si="0"/>
        <v>#N/A</v>
      </c>
    </row>
    <row r="13" spans="1:7" ht="17.25" thickBot="1" x14ac:dyDescent="0.35">
      <c r="A13" s="10" t="s">
        <v>31</v>
      </c>
    </row>
    <row r="14" spans="1:7" x14ac:dyDescent="0.25">
      <c r="A14" s="11" t="s">
        <v>29</v>
      </c>
      <c r="B14" s="12"/>
      <c r="C14" s="12"/>
      <c r="D14" s="13"/>
      <c r="F14" s="11" t="s">
        <v>28</v>
      </c>
      <c r="G14" s="13"/>
    </row>
    <row r="15" spans="1:7" x14ac:dyDescent="0.25">
      <c r="A15" s="20" t="s">
        <v>7</v>
      </c>
      <c r="B15" s="21" t="s">
        <v>8</v>
      </c>
      <c r="C15" s="21" t="s">
        <v>9</v>
      </c>
      <c r="D15" s="22" t="s">
        <v>1</v>
      </c>
      <c r="F15" s="20" t="s">
        <v>0</v>
      </c>
      <c r="G15" s="22" t="s">
        <v>1</v>
      </c>
    </row>
    <row r="16" spans="1:7" x14ac:dyDescent="0.25">
      <c r="A16" s="4" t="s">
        <v>18</v>
      </c>
      <c r="B16" s="3" t="s">
        <v>10</v>
      </c>
      <c r="C16" s="2" t="s">
        <v>4</v>
      </c>
      <c r="D16" s="5">
        <f>IFERROR(VLOOKUP(C16,$F$16:$G$20,2,FALSE),"Golongan tidak ditemukan")</f>
        <v>9000000</v>
      </c>
      <c r="F16" s="4" t="s">
        <v>2</v>
      </c>
      <c r="G16" s="5">
        <v>5000000</v>
      </c>
    </row>
    <row r="17" spans="1:7" x14ac:dyDescent="0.25">
      <c r="A17" s="4" t="s">
        <v>19</v>
      </c>
      <c r="B17" s="3" t="s">
        <v>11</v>
      </c>
      <c r="C17" s="2" t="s">
        <v>3</v>
      </c>
      <c r="D17" s="5">
        <f t="shared" ref="D17:D23" si="1">IFERROR(VLOOKUP(C17,$F$16:$G$20,2,FALSE),"Golongan tidak ditemukan")</f>
        <v>7000000</v>
      </c>
      <c r="F17" s="4" t="s">
        <v>3</v>
      </c>
      <c r="G17" s="5">
        <v>7000000</v>
      </c>
    </row>
    <row r="18" spans="1:7" x14ac:dyDescent="0.25">
      <c r="A18" s="4" t="s">
        <v>20</v>
      </c>
      <c r="B18" s="3" t="s">
        <v>12</v>
      </c>
      <c r="C18" s="2" t="s">
        <v>6</v>
      </c>
      <c r="D18" s="5">
        <f t="shared" si="1"/>
        <v>15000000</v>
      </c>
      <c r="F18" s="4" t="s">
        <v>4</v>
      </c>
      <c r="G18" s="5">
        <v>9000000</v>
      </c>
    </row>
    <row r="19" spans="1:7" x14ac:dyDescent="0.25">
      <c r="A19" s="4" t="s">
        <v>21</v>
      </c>
      <c r="B19" s="3" t="s">
        <v>13</v>
      </c>
      <c r="C19" s="2" t="s">
        <v>2</v>
      </c>
      <c r="D19" s="5">
        <f t="shared" si="1"/>
        <v>5000000</v>
      </c>
      <c r="F19" s="4" t="s">
        <v>5</v>
      </c>
      <c r="G19" s="5">
        <v>12000000</v>
      </c>
    </row>
    <row r="20" spans="1:7" ht="15.75" thickBot="1" x14ac:dyDescent="0.3">
      <c r="A20" s="4" t="s">
        <v>22</v>
      </c>
      <c r="B20" s="3" t="s">
        <v>14</v>
      </c>
      <c r="C20" s="2" t="s">
        <v>5</v>
      </c>
      <c r="D20" s="5">
        <f t="shared" si="1"/>
        <v>12000000</v>
      </c>
      <c r="F20" s="6" t="s">
        <v>6</v>
      </c>
      <c r="G20" s="9">
        <v>15000000</v>
      </c>
    </row>
    <row r="21" spans="1:7" x14ac:dyDescent="0.25">
      <c r="A21" s="4" t="s">
        <v>23</v>
      </c>
      <c r="B21" s="3" t="s">
        <v>15</v>
      </c>
      <c r="C21" s="2" t="s">
        <v>4</v>
      </c>
      <c r="D21" s="5">
        <f t="shared" si="1"/>
        <v>9000000</v>
      </c>
    </row>
    <row r="22" spans="1:7" x14ac:dyDescent="0.25">
      <c r="A22" s="4" t="s">
        <v>24</v>
      </c>
      <c r="B22" s="3" t="s">
        <v>16</v>
      </c>
      <c r="C22" s="2" t="s">
        <v>30</v>
      </c>
      <c r="D22" s="5" t="str">
        <f t="shared" si="1"/>
        <v>Golongan tidak ditemukan</v>
      </c>
    </row>
    <row r="23" spans="1:7" ht="15.75" thickBot="1" x14ac:dyDescent="0.3">
      <c r="A23" s="6" t="s">
        <v>25</v>
      </c>
      <c r="B23" s="7" t="s">
        <v>17</v>
      </c>
      <c r="C23" s="8" t="s">
        <v>27</v>
      </c>
      <c r="D23" s="9" t="str">
        <f t="shared" si="1"/>
        <v>Golongan tidak ditemukan</v>
      </c>
    </row>
    <row r="25" spans="1:7" ht="17.25" thickBot="1" x14ac:dyDescent="0.35">
      <c r="A25" s="10" t="s">
        <v>33</v>
      </c>
    </row>
    <row r="26" spans="1:7" x14ac:dyDescent="0.25">
      <c r="A26" s="23" t="s">
        <v>29</v>
      </c>
      <c r="B26" s="24"/>
      <c r="C26" s="24"/>
      <c r="D26" s="25"/>
      <c r="F26" s="23" t="s">
        <v>28</v>
      </c>
      <c r="G26" s="25"/>
    </row>
    <row r="27" spans="1:7" x14ac:dyDescent="0.25">
      <c r="A27" s="26" t="s">
        <v>7</v>
      </c>
      <c r="B27" s="27" t="s">
        <v>8</v>
      </c>
      <c r="C27" s="27" t="s">
        <v>9</v>
      </c>
      <c r="D27" s="28" t="s">
        <v>1</v>
      </c>
      <c r="F27" s="26" t="s">
        <v>0</v>
      </c>
      <c r="G27" s="28" t="s">
        <v>1</v>
      </c>
    </row>
    <row r="28" spans="1:7" x14ac:dyDescent="0.25">
      <c r="A28" s="29" t="s">
        <v>18</v>
      </c>
      <c r="B28" s="30" t="s">
        <v>10</v>
      </c>
      <c r="C28" s="31" t="s">
        <v>4</v>
      </c>
      <c r="D28" s="32">
        <f>IF(COUNTIF($F$28:$G$32,C28)=0,"Golongan '"&amp;C28&amp;"' tidak ditemukan",VLOOKUP(C28,$F$28:$G$32,2,FALSE))</f>
        <v>9000000</v>
      </c>
      <c r="F28" s="29" t="s">
        <v>2</v>
      </c>
      <c r="G28" s="32">
        <v>5000000</v>
      </c>
    </row>
    <row r="29" spans="1:7" x14ac:dyDescent="0.25">
      <c r="A29" s="29" t="s">
        <v>19</v>
      </c>
      <c r="B29" s="30" t="s">
        <v>11</v>
      </c>
      <c r="C29" s="31" t="s">
        <v>3</v>
      </c>
      <c r="D29" s="32">
        <f t="shared" ref="D29:D35" si="2">IF(COUNTIF($F$28:$G$32,C29)=0,"Golongan '"&amp;C29&amp;"' tidak ditemukan",VLOOKUP(C29,$F$28:$G$32,2,FALSE))</f>
        <v>7000000</v>
      </c>
      <c r="F29" s="29" t="s">
        <v>3</v>
      </c>
      <c r="G29" s="32">
        <v>7000000</v>
      </c>
    </row>
    <row r="30" spans="1:7" x14ac:dyDescent="0.25">
      <c r="A30" s="29" t="s">
        <v>20</v>
      </c>
      <c r="B30" s="30" t="s">
        <v>12</v>
      </c>
      <c r="C30" s="31" t="s">
        <v>6</v>
      </c>
      <c r="D30" s="32">
        <f t="shared" si="2"/>
        <v>15000000</v>
      </c>
      <c r="F30" s="29" t="s">
        <v>4</v>
      </c>
      <c r="G30" s="32">
        <v>9000000</v>
      </c>
    </row>
    <row r="31" spans="1:7" x14ac:dyDescent="0.25">
      <c r="A31" s="29" t="s">
        <v>21</v>
      </c>
      <c r="B31" s="30" t="s">
        <v>13</v>
      </c>
      <c r="C31" s="31" t="s">
        <v>2</v>
      </c>
      <c r="D31" s="32">
        <f t="shared" si="2"/>
        <v>5000000</v>
      </c>
      <c r="F31" s="29" t="s">
        <v>5</v>
      </c>
      <c r="G31" s="32">
        <v>12000000</v>
      </c>
    </row>
    <row r="32" spans="1:7" ht="15.75" thickBot="1" x14ac:dyDescent="0.3">
      <c r="A32" s="29" t="s">
        <v>22</v>
      </c>
      <c r="B32" s="30" t="s">
        <v>14</v>
      </c>
      <c r="C32" s="31" t="s">
        <v>5</v>
      </c>
      <c r="D32" s="32">
        <f t="shared" si="2"/>
        <v>12000000</v>
      </c>
      <c r="F32" s="33" t="s">
        <v>6</v>
      </c>
      <c r="G32" s="36">
        <v>15000000</v>
      </c>
    </row>
    <row r="33" spans="1:4" x14ac:dyDescent="0.25">
      <c r="A33" s="29" t="s">
        <v>23</v>
      </c>
      <c r="B33" s="30" t="s">
        <v>15</v>
      </c>
      <c r="C33" s="31" t="s">
        <v>4</v>
      </c>
      <c r="D33" s="32">
        <f t="shared" si="2"/>
        <v>9000000</v>
      </c>
    </row>
    <row r="34" spans="1:4" x14ac:dyDescent="0.25">
      <c r="A34" s="29" t="s">
        <v>24</v>
      </c>
      <c r="B34" s="30" t="s">
        <v>16</v>
      </c>
      <c r="C34" s="31" t="s">
        <v>30</v>
      </c>
      <c r="D34" s="32" t="str">
        <f t="shared" si="2"/>
        <v>Golongan 'lll' tidak ditemukan</v>
      </c>
    </row>
    <row r="35" spans="1:4" ht="15.75" thickBot="1" x14ac:dyDescent="0.3">
      <c r="A35" s="33" t="s">
        <v>25</v>
      </c>
      <c r="B35" s="34" t="s">
        <v>17</v>
      </c>
      <c r="C35" s="35" t="s">
        <v>27</v>
      </c>
      <c r="D35" s="36" t="str">
        <f t="shared" si="2"/>
        <v>Golongan 'VI' tidak ditemukan</v>
      </c>
    </row>
  </sheetData>
  <mergeCells count="6">
    <mergeCell ref="F2:G2"/>
    <mergeCell ref="A2:D2"/>
    <mergeCell ref="A14:D14"/>
    <mergeCell ref="F14:G14"/>
    <mergeCell ref="A26:D26"/>
    <mergeCell ref="F26:G26"/>
  </mergeCells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cp:lastPrinted>2026-06-19T06:21:17Z</cp:lastPrinted>
  <dcterms:created xsi:type="dcterms:W3CDTF">2026-06-19T06:09:10Z</dcterms:created>
  <dcterms:modified xsi:type="dcterms:W3CDTF">2026-06-19T08:06:51Z</dcterms:modified>
</cp:coreProperties>
</file>