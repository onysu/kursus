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8_{FEEDDCDE-60A2-4A66-916D-503516DFC4E8}" xr6:coauthVersionLast="47" xr6:coauthVersionMax="47" xr10:uidLastSave="{00000000-0000-0000-0000-000000000000}"/>
  <bookViews>
    <workbookView xWindow="-20610" yWindow="-120" windowWidth="20730" windowHeight="11040" xr2:uid="{E37C903E-9C6B-470E-B6C6-238D4DBCD3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1" i="1"/>
  <c r="D20" i="1"/>
  <c r="D19" i="1"/>
  <c r="D18" i="1"/>
  <c r="D17" i="1"/>
  <c r="D16" i="1"/>
  <c r="D15" i="1"/>
  <c r="D3" i="1"/>
  <c r="D9" i="1"/>
  <c r="D4" i="1"/>
  <c r="D5" i="1"/>
  <c r="D6" i="1"/>
  <c r="D7" i="1"/>
  <c r="D8" i="1"/>
  <c r="D10" i="1"/>
</calcChain>
</file>

<file path=xl/sharedStrings.xml><?xml version="1.0" encoding="utf-8"?>
<sst xmlns="http://schemas.openxmlformats.org/spreadsheetml/2006/main" count="74" uniqueCount="30">
  <si>
    <t>Kode Golongan</t>
  </si>
  <si>
    <t>Gaji Pokok</t>
  </si>
  <si>
    <t>I</t>
  </si>
  <si>
    <t>II</t>
  </si>
  <si>
    <t>III</t>
  </si>
  <si>
    <t>IV</t>
  </si>
  <si>
    <t>V</t>
  </si>
  <si>
    <t>Kode</t>
  </si>
  <si>
    <t>Nama</t>
  </si>
  <si>
    <t>Golongan</t>
  </si>
  <si>
    <t>Andi</t>
  </si>
  <si>
    <t>Budi</t>
  </si>
  <si>
    <t>Cici</t>
  </si>
  <si>
    <t>Dodi</t>
  </si>
  <si>
    <t>Eka</t>
  </si>
  <si>
    <t>Fani</t>
  </si>
  <si>
    <t>Gita</t>
  </si>
  <si>
    <t>Hadi</t>
  </si>
  <si>
    <t>K001</t>
  </si>
  <si>
    <t>K002</t>
  </si>
  <si>
    <t>K003</t>
  </si>
  <si>
    <t>K004</t>
  </si>
  <si>
    <t>K005</t>
  </si>
  <si>
    <t>K006</t>
  </si>
  <si>
    <t>K007</t>
  </si>
  <si>
    <t>K008</t>
  </si>
  <si>
    <t>ll</t>
  </si>
  <si>
    <t>VI</t>
  </si>
  <si>
    <t>TABLE REFERENSI GAJI</t>
  </si>
  <si>
    <t>TABEL DATA KARYAWAN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</si>
</sst>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_-&quot;Rp&quot;* #,##0_-;\-&quot;Rp&quot;* #,##0_-;_-&quot;Rp&quot;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C380-6B50-4244-970D-8E7507EADD25}">
  <dimension ref="A1:G22"/>
  <sheetViews>
    <sheetView tabSelected="1" workbookViewId="0">
      <selection activeCell="F11" sqref="F11"/>
    </sheetView>
  </sheetViews>
  <sheetFormatPr defaultRowHeight="15" x14ac:dyDescent="0.25"/>
  <cols>
    <col min="1" max="1" width="7.28515625" style="1" customWidth="1"/>
    <col min="2" max="2" width="16.28515625" style="1" customWidth="1"/>
    <col min="3" max="3" width="11.140625" style="1" customWidth="1"/>
    <col min="4" max="4" width="19.5703125" style="1" customWidth="1"/>
    <col min="5" max="5" width="9.140625" style="1"/>
    <col min="6" max="7" width="17.28515625" style="1" customWidth="1"/>
    <col min="8" max="8" width="9.140625" style="1"/>
    <col min="9" max="9" width="14.5703125" style="1" bestFit="1" customWidth="1"/>
    <col min="10" max="10" width="16.5703125" style="1" bestFit="1" customWidth="1"/>
    <col min="11" max="16384" width="9.140625" style="1"/>
  </cols>
  <sheetData>
    <row r="1" spans="1:7" x14ac:dyDescent="0.25">
      <c r="A1" s="5" t="s">
        <v>29</v>
      </c>
      <c r="B1" s="6"/>
      <c r="C1" s="6"/>
      <c r="D1" s="7"/>
      <c r="F1" s="5" t="s">
        <v>28</v>
      </c>
      <c r="G1" s="7"/>
    </row>
    <row r="2" spans="1:7" x14ac:dyDescent="0.25">
      <c r="A2" s="8" t="s">
        <v>7</v>
      </c>
      <c r="B2" s="4" t="s">
        <v>8</v>
      </c>
      <c r="C2" s="4" t="s">
        <v>9</v>
      </c>
      <c r="D2" s="9" t="s">
        <v>1</v>
      </c>
      <c r="F2" s="8" t="s">
        <v>0</v>
      </c>
      <c r="G2" s="9" t="s">
        <v>1</v>
      </c>
    </row>
    <row r="3" spans="1:7" x14ac:dyDescent="0.25">
      <c r="A3" s="10" t="s">
        <v>18</v>
      </c>
      <c r="B3" s="3" t="s">
        <v>10</v>
      </c>
      <c r="C3" s="2" t="s">
        <v>4</v>
      </c>
      <c r="D3" s="11">
        <f>VLOOKUP(C3,$F$3:$G$7,2,)</f>
        <v>9000000</v>
      </c>
      <c r="F3" s="10" t="s">
        <v>2</v>
      </c>
      <c r="G3" s="11">
        <v>5000000</v>
      </c>
    </row>
    <row r="4" spans="1:7" x14ac:dyDescent="0.25">
      <c r="A4" s="10" t="s">
        <v>19</v>
      </c>
      <c r="B4" s="3" t="s">
        <v>11</v>
      </c>
      <c r="C4" s="2" t="s">
        <v>3</v>
      </c>
      <c r="D4" s="11">
        <f>VLOOKUP(C4,$F$3:$G$7,2,)</f>
        <v>7000000</v>
      </c>
      <c r="F4" s="10" t="s">
        <v>3</v>
      </c>
      <c r="G4" s="11">
        <v>7000000</v>
      </c>
    </row>
    <row r="5" spans="1:7" x14ac:dyDescent="0.25">
      <c r="A5" s="10" t="s">
        <v>20</v>
      </c>
      <c r="B5" s="3" t="s">
        <v>12</v>
      </c>
      <c r="C5" s="2" t="s">
        <v>6</v>
      </c>
      <c r="D5" s="11">
        <f>VLOOKUP(C5,$F$3:$G$7,2,)</f>
        <v>15000000</v>
      </c>
      <c r="F5" s="10" t="s">
        <v>4</v>
      </c>
      <c r="G5" s="11">
        <v>9000000</v>
      </c>
    </row>
    <row r="6" spans="1:7" x14ac:dyDescent="0.25">
      <c r="A6" s="10" t="s">
        <v>21</v>
      </c>
      <c r="B6" s="3" t="s">
        <v>13</v>
      </c>
      <c r="C6" s="2" t="s">
        <v>2</v>
      </c>
      <c r="D6" s="11">
        <f>VLOOKUP(C6,$F$3:$G$7,2,)</f>
        <v>5000000</v>
      </c>
      <c r="F6" s="10" t="s">
        <v>5</v>
      </c>
      <c r="G6" s="11">
        <v>12000000</v>
      </c>
    </row>
    <row r="7" spans="1:7" ht="15.75" thickBot="1" x14ac:dyDescent="0.3">
      <c r="A7" s="10" t="s">
        <v>22</v>
      </c>
      <c r="B7" s="3" t="s">
        <v>14</v>
      </c>
      <c r="C7" s="2" t="s">
        <v>5</v>
      </c>
      <c r="D7" s="11">
        <f>VLOOKUP(C7,$F$3:$G$7,2,)</f>
        <v>12000000</v>
      </c>
      <c r="F7" s="12" t="s">
        <v>6</v>
      </c>
      <c r="G7" s="15">
        <v>15000000</v>
      </c>
    </row>
    <row r="8" spans="1:7" x14ac:dyDescent="0.25">
      <c r="A8" s="10" t="s">
        <v>23</v>
      </c>
      <c r="B8" s="3" t="s">
        <v>15</v>
      </c>
      <c r="C8" s="2" t="s">
        <v>4</v>
      </c>
      <c r="D8" s="11">
        <f>VLOOKUP(C8,$F$3:$G$7,2,)</f>
        <v>9000000</v>
      </c>
    </row>
    <row r="9" spans="1:7" x14ac:dyDescent="0.25">
      <c r="A9" s="10" t="s">
        <v>24</v>
      </c>
      <c r="B9" s="3" t="s">
        <v>16</v>
      </c>
      <c r="C9" s="2" t="s">
        <v>26</v>
      </c>
      <c r="D9" s="11" t="e">
        <f>VLOOKUP(C9,$F$3:$G$7,2,)</f>
        <v>#N/A</v>
      </c>
    </row>
    <row r="10" spans="1:7" ht="15.75" thickBot="1" x14ac:dyDescent="0.3">
      <c r="A10" s="12" t="s">
        <v>25</v>
      </c>
      <c r="B10" s="13" t="s">
        <v>17</v>
      </c>
      <c r="C10" s="14" t="s">
        <v>27</v>
      </c>
      <c r="D10" s="15" t="e">
        <f>VLOOKUP(C10,$F$3:$G$7,2,)</f>
        <v>#N/A</v>
      </c>
    </row>
    <row r="12" spans="1:7" ht="15.75" thickBot="1" x14ac:dyDescent="0.3"/>
    <row r="13" spans="1:7" x14ac:dyDescent="0.25">
      <c r="A13" s="5" t="s">
        <v>29</v>
      </c>
      <c r="B13" s="6"/>
      <c r="C13" s="6"/>
      <c r="D13" s="7"/>
      <c r="F13" s="5" t="s">
        <v>28</v>
      </c>
      <c r="G13" s="7"/>
    </row>
    <row r="14" spans="1:7" x14ac:dyDescent="0.25">
      <c r="A14" s="8" t="s">
        <v>7</v>
      </c>
      <c r="B14" s="4" t="s">
        <v>8</v>
      </c>
      <c r="C14" s="4" t="s">
        <v>9</v>
      </c>
      <c r="D14" s="9" t="s">
        <v>1</v>
      </c>
      <c r="F14" s="8" t="s">
        <v>0</v>
      </c>
      <c r="G14" s="9" t="s">
        <v>1</v>
      </c>
    </row>
    <row r="15" spans="1:7" x14ac:dyDescent="0.25">
      <c r="A15" s="10" t="s">
        <v>18</v>
      </c>
      <c r="B15" s="3" t="s">
        <v>10</v>
      </c>
      <c r="C15" s="2" t="s">
        <v>4</v>
      </c>
      <c r="D15" s="11">
        <f>VLOOKUP(C15,$F$3:$G$7,2,)</f>
        <v>9000000</v>
      </c>
      <c r="F15" s="10" t="s">
        <v>2</v>
      </c>
      <c r="G15" s="11">
        <v>5000000</v>
      </c>
    </row>
    <row r="16" spans="1:7" x14ac:dyDescent="0.25">
      <c r="A16" s="10" t="s">
        <v>19</v>
      </c>
      <c r="B16" s="3" t="s">
        <v>11</v>
      </c>
      <c r="C16" s="2" t="s">
        <v>3</v>
      </c>
      <c r="D16" s="11">
        <f>VLOOKUP(C16,$F$3:$G$7,2,)</f>
        <v>7000000</v>
      </c>
      <c r="F16" s="10" t="s">
        <v>3</v>
      </c>
      <c r="G16" s="11">
        <v>7000000</v>
      </c>
    </row>
    <row r="17" spans="1:7" x14ac:dyDescent="0.25">
      <c r="A17" s="10" t="s">
        <v>20</v>
      </c>
      <c r="B17" s="3" t="s">
        <v>12</v>
      </c>
      <c r="C17" s="2" t="s">
        <v>6</v>
      </c>
      <c r="D17" s="11">
        <f>VLOOKUP(C17,$F$3:$G$7,2,)</f>
        <v>15000000</v>
      </c>
      <c r="F17" s="10" t="s">
        <v>4</v>
      </c>
      <c r="G17" s="11">
        <v>9000000</v>
      </c>
    </row>
    <row r="18" spans="1:7" x14ac:dyDescent="0.25">
      <c r="A18" s="10" t="s">
        <v>21</v>
      </c>
      <c r="B18" s="3" t="s">
        <v>13</v>
      </c>
      <c r="C18" s="2" t="s">
        <v>2</v>
      </c>
      <c r="D18" s="11">
        <f>VLOOKUP(C18,$F$3:$G$7,2,)</f>
        <v>5000000</v>
      </c>
      <c r="F18" s="10" t="s">
        <v>5</v>
      </c>
      <c r="G18" s="11">
        <v>12000000</v>
      </c>
    </row>
    <row r="19" spans="1:7" ht="15.75" thickBot="1" x14ac:dyDescent="0.3">
      <c r="A19" s="10" t="s">
        <v>22</v>
      </c>
      <c r="B19" s="3" t="s">
        <v>14</v>
      </c>
      <c r="C19" s="2" t="s">
        <v>5</v>
      </c>
      <c r="D19" s="11">
        <f>VLOOKUP(C19,$F$3:$G$7,2,)</f>
        <v>12000000</v>
      </c>
      <c r="F19" s="12" t="s">
        <v>6</v>
      </c>
      <c r="G19" s="15">
        <v>15000000</v>
      </c>
    </row>
    <row r="20" spans="1:7" x14ac:dyDescent="0.25">
      <c r="A20" s="10" t="s">
        <v>23</v>
      </c>
      <c r="B20" s="3" t="s">
        <v>15</v>
      </c>
      <c r="C20" s="2" t="s">
        <v>4</v>
      </c>
      <c r="D20" s="11">
        <f>VLOOKUP(C20,$F$3:$G$7,2,)</f>
        <v>9000000</v>
      </c>
    </row>
    <row r="21" spans="1:7" x14ac:dyDescent="0.25">
      <c r="A21" s="10" t="s">
        <v>24</v>
      </c>
      <c r="B21" s="3" t="s">
        <v>16</v>
      </c>
      <c r="C21" s="2" t="s">
        <v>26</v>
      </c>
      <c r="D21" s="11" t="e">
        <f>VLOOKUP(C21,$F$3:$G$7,2,)</f>
        <v>#N/A</v>
      </c>
    </row>
    <row r="22" spans="1:7" ht="15.75" thickBot="1" x14ac:dyDescent="0.3">
      <c r="A22" s="12" t="s">
        <v>25</v>
      </c>
      <c r="B22" s="13" t="s">
        <v>17</v>
      </c>
      <c r="C22" s="14" t="s">
        <v>27</v>
      </c>
      <c r="D22" s="15" t="e">
        <f>VLOOKUP(C22,$F$3:$G$7,2,)</f>
        <v>#N/A</v>
      </c>
    </row>
  </sheetData>
  <mergeCells count="4">
    <mergeCell ref="F1:G1"/>
    <mergeCell ref="A1:D1"/>
    <mergeCell ref="A13:D13"/>
    <mergeCell ref="F13:G13"/>
  </mergeCells>
  <phoneticPr fontId="3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cp:lastPrinted>2026-06-19T06:21:17Z</cp:lastPrinted>
  <dcterms:created xsi:type="dcterms:W3CDTF">2026-06-19T06:09:10Z</dcterms:created>
  <dcterms:modified xsi:type="dcterms:W3CDTF">2026-06-19T07:12:44Z</dcterms:modified>
</cp:coreProperties>
</file>